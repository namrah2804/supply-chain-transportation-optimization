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amir\OneDrive\Desktop\supply-chain-distribution-optimization\assets\"/>
    </mc:Choice>
  </mc:AlternateContent>
  <xr:revisionPtr revIDLastSave="0" documentId="13_ncr:1_{D9A5C9A4-73D0-4FE6-A478-AFD90D5026AB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Base Model" sheetId="3" r:id="rId1"/>
    <sheet name="Base Model- Answer Report" sheetId="15" r:id="rId2"/>
    <sheet name="Base Model-Sensitivity Report" sheetId="16" r:id="rId3"/>
    <sheet name="_x0009_Carbon Policy Model" sheetId="9" r:id="rId4"/>
    <sheet name="_x0009_Carbon Policy - Answer Report " sheetId="21" r:id="rId5"/>
    <sheet name="_x0009_Carbon Pol -Sensitivity Report" sheetId="22" r:id="rId6"/>
  </sheets>
  <definedNames>
    <definedName name="solver_adj" localSheetId="3" hidden="1">'	Carbon Policy Model'!$C$5:$F$16,'	Carbon Policy Model'!$C$48:$H$59,'	Carbon Policy Model'!$C$105:$H$116</definedName>
    <definedName name="solver_adj" localSheetId="0" hidden="1">'Base Model'!$C$5:$F$16,'Base Model'!$C$47:$H$58,'Base Model'!$C$85:$H$96</definedName>
    <definedName name="solver_cvg" localSheetId="3" hidden="1">0.0001</definedName>
    <definedName name="solver_cvg" localSheetId="0" hidden="1">0.0001</definedName>
    <definedName name="solver_drv" localSheetId="3" hidden="1">2</definedName>
    <definedName name="solver_drv" localSheetId="0" hidden="1">1</definedName>
    <definedName name="solver_eng" localSheetId="3" hidden="1">2</definedName>
    <definedName name="solver_eng" localSheetId="0" hidden="1">2</definedName>
    <definedName name="solver_est" localSheetId="3" hidden="1">1</definedName>
    <definedName name="solver_est" localSheetId="0" hidden="1">1</definedName>
    <definedName name="solver_itr" localSheetId="3" hidden="1">2147483647</definedName>
    <definedName name="solver_itr" localSheetId="0" hidden="1">2147483647</definedName>
    <definedName name="solver_lhs1" localSheetId="3" hidden="1">'	Carbon Policy Model'!$H$166:$H$183</definedName>
    <definedName name="solver_lhs1" localSheetId="0" hidden="1">'Base Model'!$H$129:$H$146</definedName>
    <definedName name="solver_lhs2" localSheetId="3" hidden="1">'	Carbon Policy Model'!$K$105:$K$116</definedName>
    <definedName name="solver_lhs2" localSheetId="0" hidden="1">'Base Model'!$K$85:$K$96</definedName>
    <definedName name="solver_lhs3" localSheetId="3" hidden="1">'	Carbon Policy Model'!$L$48:$L$59</definedName>
    <definedName name="solver_lhs3" localSheetId="0" hidden="1">'Base Model'!$K$85:$K$96</definedName>
    <definedName name="solver_lhs4" localSheetId="3" hidden="1">'	Carbon Policy Model'!$M$105:$M$116</definedName>
    <definedName name="solver_lhs4" localSheetId="0" hidden="1">'Base Model'!$L$47:$L$58</definedName>
    <definedName name="solver_mip" localSheetId="3" hidden="1">2147483647</definedName>
    <definedName name="solver_mip" localSheetId="0" hidden="1">2147483647</definedName>
    <definedName name="solver_mni" localSheetId="3" hidden="1">30</definedName>
    <definedName name="solver_mni" localSheetId="0" hidden="1">30</definedName>
    <definedName name="solver_mrt" localSheetId="3" hidden="1">0.075</definedName>
    <definedName name="solver_mrt" localSheetId="0" hidden="1">0.075</definedName>
    <definedName name="solver_msl" localSheetId="3" hidden="1">2</definedName>
    <definedName name="solver_msl" localSheetId="0" hidden="1">2</definedName>
    <definedName name="solver_neg" localSheetId="3" hidden="1">1</definedName>
    <definedName name="solver_neg" localSheetId="0" hidden="1">1</definedName>
    <definedName name="solver_nod" localSheetId="3" hidden="1">2147483647</definedName>
    <definedName name="solver_nod" localSheetId="0" hidden="1">2147483647</definedName>
    <definedName name="solver_num" localSheetId="3" hidden="1">4</definedName>
    <definedName name="solver_num" localSheetId="0" hidden="1">4</definedName>
    <definedName name="solver_nwt" localSheetId="3" hidden="1">1</definedName>
    <definedName name="solver_nwt" localSheetId="0" hidden="1">1</definedName>
    <definedName name="solver_opt" localSheetId="3" hidden="1">'	Carbon Policy Model'!$F$187</definedName>
    <definedName name="solver_opt" localSheetId="0" hidden="1">'Base Model'!$F$123</definedName>
    <definedName name="solver_pre" localSheetId="3" hidden="1">0.000001</definedName>
    <definedName name="solver_pre" localSheetId="0" hidden="1">0.000001</definedName>
    <definedName name="solver_rbv" localSheetId="3" hidden="1">2</definedName>
    <definedName name="solver_rbv" localSheetId="0" hidden="1">1</definedName>
    <definedName name="solver_rel1" localSheetId="3" hidden="1">3</definedName>
    <definedName name="solver_rel1" localSheetId="0" hidden="1">3</definedName>
    <definedName name="solver_rel2" localSheetId="3" hidden="1">2</definedName>
    <definedName name="solver_rel2" localSheetId="0" hidden="1">1</definedName>
    <definedName name="solver_rel3" localSheetId="3" hidden="1">1</definedName>
    <definedName name="solver_rel3" localSheetId="0" hidden="1">2</definedName>
    <definedName name="solver_rel4" localSheetId="3" hidden="1">1</definedName>
    <definedName name="solver_rel4" localSheetId="0" hidden="1">1</definedName>
    <definedName name="solver_rhs1" localSheetId="3" hidden="1">'	Carbon Policy Model'!$K$166:$K$183</definedName>
    <definedName name="solver_rhs1" localSheetId="0" hidden="1">'Base Model'!$K$129:$K$146</definedName>
    <definedName name="solver_rhs2" localSheetId="3" hidden="1">'	Carbon Policy Model'!$M$105:$M$116</definedName>
    <definedName name="solver_rhs2" localSheetId="0" hidden="1">'Base Model'!$O$85:$O$96</definedName>
    <definedName name="solver_rhs3" localSheetId="3" hidden="1">'	Carbon Policy Model'!$N$48:$N$59</definedName>
    <definedName name="solver_rhs3" localSheetId="0" hidden="1">'Base Model'!$M$85:$M$96</definedName>
    <definedName name="solver_rhs4" localSheetId="3" hidden="1">'	Carbon Policy Model'!$O$105:$O$116</definedName>
    <definedName name="solver_rhs4" localSheetId="0" hidden="1">'Base Model'!$N$47:$N$58</definedName>
    <definedName name="solver_rlx" localSheetId="3" hidden="1">2</definedName>
    <definedName name="solver_rlx" localSheetId="0" hidden="1">2</definedName>
    <definedName name="solver_rsd" localSheetId="3" hidden="1">0</definedName>
    <definedName name="solver_rsd" localSheetId="0" hidden="1">0</definedName>
    <definedName name="solver_scl" localSheetId="3" hidden="1">2</definedName>
    <definedName name="solver_scl" localSheetId="0" hidden="1">1</definedName>
    <definedName name="solver_sho" localSheetId="3" hidden="1">2</definedName>
    <definedName name="solver_sho" localSheetId="0" hidden="1">2</definedName>
    <definedName name="solver_ssz" localSheetId="3" hidden="1">100</definedName>
    <definedName name="solver_ssz" localSheetId="0" hidden="1">100</definedName>
    <definedName name="solver_tim" localSheetId="3" hidden="1">2147483647</definedName>
    <definedName name="solver_tim" localSheetId="0" hidden="1">2147483647</definedName>
    <definedName name="solver_tol" localSheetId="3" hidden="1">0.01</definedName>
    <definedName name="solver_tol" localSheetId="0" hidden="1">0.01</definedName>
    <definedName name="solver_typ" localSheetId="3" hidden="1">2</definedName>
    <definedName name="solver_typ" localSheetId="0" hidden="1">2</definedName>
    <definedName name="solver_val" localSheetId="3" hidden="1">0</definedName>
    <definedName name="solver_val" localSheetId="0" hidden="1">0</definedName>
    <definedName name="solver_ver" localSheetId="3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3" i="9" l="1"/>
  <c r="F183" i="9"/>
  <c r="G182" i="9"/>
  <c r="F182" i="9"/>
  <c r="G181" i="9"/>
  <c r="F181" i="9"/>
  <c r="G180" i="9"/>
  <c r="F180" i="9"/>
  <c r="G179" i="9"/>
  <c r="F179" i="9"/>
  <c r="G178" i="9"/>
  <c r="F178" i="9"/>
  <c r="G177" i="9"/>
  <c r="F177" i="9"/>
  <c r="G176" i="9"/>
  <c r="F176" i="9"/>
  <c r="G175" i="9"/>
  <c r="F175" i="9"/>
  <c r="G174" i="9"/>
  <c r="F174" i="9"/>
  <c r="G173" i="9"/>
  <c r="F173" i="9"/>
  <c r="G172" i="9"/>
  <c r="F172" i="9"/>
  <c r="G171" i="9"/>
  <c r="F171" i="9"/>
  <c r="G170" i="9"/>
  <c r="F170" i="9"/>
  <c r="G169" i="9"/>
  <c r="F169" i="9"/>
  <c r="G168" i="9"/>
  <c r="F168" i="9"/>
  <c r="G167" i="9"/>
  <c r="F167" i="9"/>
  <c r="G166" i="9"/>
  <c r="F166" i="9"/>
  <c r="K159" i="9"/>
  <c r="J159" i="9"/>
  <c r="I159" i="9"/>
  <c r="H159" i="9"/>
  <c r="G159" i="9"/>
  <c r="F159" i="9"/>
  <c r="K158" i="9"/>
  <c r="J158" i="9"/>
  <c r="I158" i="9"/>
  <c r="H158" i="9"/>
  <c r="G158" i="9"/>
  <c r="F158" i="9"/>
  <c r="K157" i="9"/>
  <c r="J157" i="9"/>
  <c r="I157" i="9"/>
  <c r="H157" i="9"/>
  <c r="G157" i="9"/>
  <c r="F157" i="9"/>
  <c r="K155" i="9"/>
  <c r="J155" i="9"/>
  <c r="I155" i="9"/>
  <c r="H155" i="9"/>
  <c r="G155" i="9"/>
  <c r="F155" i="9"/>
  <c r="K154" i="9"/>
  <c r="J154" i="9"/>
  <c r="I154" i="9"/>
  <c r="H154" i="9"/>
  <c r="G154" i="9"/>
  <c r="F154" i="9"/>
  <c r="K153" i="9"/>
  <c r="J153" i="9"/>
  <c r="I153" i="9"/>
  <c r="H153" i="9"/>
  <c r="G153" i="9"/>
  <c r="F153" i="9"/>
  <c r="K151" i="9"/>
  <c r="J151" i="9"/>
  <c r="I151" i="9"/>
  <c r="H151" i="9"/>
  <c r="G151" i="9"/>
  <c r="F151" i="9"/>
  <c r="K150" i="9"/>
  <c r="J150" i="9"/>
  <c r="I150" i="9"/>
  <c r="H150" i="9"/>
  <c r="G150" i="9"/>
  <c r="F150" i="9"/>
  <c r="K149" i="9"/>
  <c r="J149" i="9"/>
  <c r="I149" i="9"/>
  <c r="H149" i="9"/>
  <c r="G149" i="9"/>
  <c r="F149" i="9"/>
  <c r="K147" i="9"/>
  <c r="J147" i="9"/>
  <c r="I147" i="9"/>
  <c r="H147" i="9"/>
  <c r="G147" i="9"/>
  <c r="F147" i="9"/>
  <c r="K146" i="9"/>
  <c r="J146" i="9"/>
  <c r="I146" i="9"/>
  <c r="H146" i="9"/>
  <c r="G146" i="9"/>
  <c r="F146" i="9"/>
  <c r="K145" i="9"/>
  <c r="J145" i="9"/>
  <c r="I145" i="9"/>
  <c r="H145" i="9"/>
  <c r="G145" i="9"/>
  <c r="F145" i="9"/>
  <c r="M116" i="9"/>
  <c r="K116" i="9"/>
  <c r="I116" i="9"/>
  <c r="M115" i="9"/>
  <c r="K115" i="9"/>
  <c r="I115" i="9"/>
  <c r="M114" i="9"/>
  <c r="K114" i="9"/>
  <c r="I114" i="9"/>
  <c r="M113" i="9"/>
  <c r="K113" i="9"/>
  <c r="I113" i="9"/>
  <c r="M112" i="9"/>
  <c r="K112" i="9"/>
  <c r="I112" i="9"/>
  <c r="M111" i="9"/>
  <c r="K111" i="9"/>
  <c r="I111" i="9"/>
  <c r="M110" i="9"/>
  <c r="K110" i="9"/>
  <c r="I110" i="9"/>
  <c r="M109" i="9"/>
  <c r="K109" i="9"/>
  <c r="I109" i="9"/>
  <c r="M108" i="9"/>
  <c r="K108" i="9"/>
  <c r="I108" i="9"/>
  <c r="M107" i="9"/>
  <c r="K107" i="9"/>
  <c r="I107" i="9"/>
  <c r="M106" i="9"/>
  <c r="K106" i="9"/>
  <c r="I106" i="9"/>
  <c r="M105" i="9"/>
  <c r="K105" i="9"/>
  <c r="I105" i="9"/>
  <c r="L100" i="9"/>
  <c r="K100" i="9"/>
  <c r="J100" i="9"/>
  <c r="I100" i="9"/>
  <c r="H100" i="9"/>
  <c r="G100" i="9"/>
  <c r="L99" i="9"/>
  <c r="K99" i="9"/>
  <c r="J99" i="9"/>
  <c r="I99" i="9"/>
  <c r="H99" i="9"/>
  <c r="G99" i="9"/>
  <c r="L98" i="9"/>
  <c r="K98" i="9"/>
  <c r="J98" i="9"/>
  <c r="I98" i="9"/>
  <c r="H98" i="9"/>
  <c r="G98" i="9"/>
  <c r="L96" i="9"/>
  <c r="K96" i="9"/>
  <c r="J96" i="9"/>
  <c r="I96" i="9"/>
  <c r="H96" i="9"/>
  <c r="G96" i="9"/>
  <c r="L95" i="9"/>
  <c r="K95" i="9"/>
  <c r="J95" i="9"/>
  <c r="I95" i="9"/>
  <c r="H95" i="9"/>
  <c r="G95" i="9"/>
  <c r="L94" i="9"/>
  <c r="K94" i="9"/>
  <c r="J94" i="9"/>
  <c r="I94" i="9"/>
  <c r="H94" i="9"/>
  <c r="G94" i="9"/>
  <c r="L92" i="9"/>
  <c r="K92" i="9"/>
  <c r="J92" i="9"/>
  <c r="I92" i="9"/>
  <c r="H92" i="9"/>
  <c r="G92" i="9"/>
  <c r="L91" i="9"/>
  <c r="K91" i="9"/>
  <c r="J91" i="9"/>
  <c r="I91" i="9"/>
  <c r="H91" i="9"/>
  <c r="G91" i="9"/>
  <c r="L90" i="9"/>
  <c r="K90" i="9"/>
  <c r="J90" i="9"/>
  <c r="I90" i="9"/>
  <c r="H90" i="9"/>
  <c r="G90" i="9"/>
  <c r="L88" i="9"/>
  <c r="K88" i="9"/>
  <c r="J88" i="9"/>
  <c r="I88" i="9"/>
  <c r="H88" i="9"/>
  <c r="G88" i="9"/>
  <c r="L87" i="9"/>
  <c r="K87" i="9"/>
  <c r="J87" i="9"/>
  <c r="I87" i="9"/>
  <c r="H87" i="9"/>
  <c r="G87" i="9"/>
  <c r="L86" i="9"/>
  <c r="K86" i="9"/>
  <c r="J86" i="9"/>
  <c r="I86" i="9"/>
  <c r="H86" i="9"/>
  <c r="G86" i="9"/>
  <c r="H63" i="9" s="1"/>
  <c r="I59" i="9"/>
  <c r="I58" i="9"/>
  <c r="I57" i="9"/>
  <c r="I56" i="9"/>
  <c r="I55" i="9"/>
  <c r="I54" i="9"/>
  <c r="I53" i="9"/>
  <c r="I52" i="9"/>
  <c r="I51" i="9"/>
  <c r="I50" i="9"/>
  <c r="I49" i="9"/>
  <c r="I48" i="9"/>
  <c r="O41" i="9"/>
  <c r="N41" i="9"/>
  <c r="M41" i="9"/>
  <c r="L41" i="9"/>
  <c r="O40" i="9"/>
  <c r="N40" i="9"/>
  <c r="M40" i="9"/>
  <c r="L40" i="9"/>
  <c r="O39" i="9"/>
  <c r="N39" i="9"/>
  <c r="M39" i="9"/>
  <c r="L39" i="9"/>
  <c r="O37" i="9"/>
  <c r="N37" i="9"/>
  <c r="M37" i="9"/>
  <c r="L37" i="9"/>
  <c r="O36" i="9"/>
  <c r="N36" i="9"/>
  <c r="M36" i="9"/>
  <c r="L36" i="9"/>
  <c r="O35" i="9"/>
  <c r="N35" i="9"/>
  <c r="M35" i="9"/>
  <c r="L35" i="9"/>
  <c r="O33" i="9"/>
  <c r="N33" i="9"/>
  <c r="M33" i="9"/>
  <c r="L33" i="9"/>
  <c r="O32" i="9"/>
  <c r="N32" i="9"/>
  <c r="M32" i="9"/>
  <c r="L32" i="9"/>
  <c r="O31" i="9"/>
  <c r="N31" i="9"/>
  <c r="M31" i="9"/>
  <c r="L31" i="9"/>
  <c r="O29" i="9"/>
  <c r="N29" i="9"/>
  <c r="M29" i="9"/>
  <c r="L29" i="9"/>
  <c r="O28" i="9"/>
  <c r="N28" i="9"/>
  <c r="M28" i="9"/>
  <c r="L28" i="9"/>
  <c r="O27" i="9"/>
  <c r="N27" i="9"/>
  <c r="M27" i="9"/>
  <c r="L27" i="9"/>
  <c r="G16" i="9"/>
  <c r="G15" i="9"/>
  <c r="G14" i="9"/>
  <c r="G13" i="9"/>
  <c r="G12" i="9"/>
  <c r="G11" i="9"/>
  <c r="G10" i="9"/>
  <c r="G9" i="9"/>
  <c r="G8" i="9"/>
  <c r="G7" i="9"/>
  <c r="G6" i="9"/>
  <c r="G5" i="9"/>
  <c r="F42" i="9" l="1"/>
  <c r="H120" i="9"/>
  <c r="H180" i="9"/>
  <c r="H168" i="9"/>
  <c r="H176" i="9"/>
  <c r="H169" i="9"/>
  <c r="H177" i="9"/>
  <c r="H181" i="9"/>
  <c r="H178" i="9"/>
  <c r="H182" i="9"/>
  <c r="H171" i="9"/>
  <c r="H175" i="9"/>
  <c r="H179" i="9"/>
  <c r="L49" i="9"/>
  <c r="L57" i="9"/>
  <c r="L51" i="9"/>
  <c r="H174" i="9"/>
  <c r="L59" i="9"/>
  <c r="H166" i="9"/>
  <c r="H170" i="9"/>
  <c r="L53" i="9"/>
  <c r="H167" i="9"/>
  <c r="H172" i="9"/>
  <c r="L52" i="9"/>
  <c r="L54" i="9"/>
  <c r="L55" i="9"/>
  <c r="H183" i="9"/>
  <c r="L48" i="9"/>
  <c r="L56" i="9"/>
  <c r="L50" i="9"/>
  <c r="L58" i="9"/>
  <c r="H173" i="9"/>
  <c r="H100" i="3"/>
  <c r="I85" i="3"/>
  <c r="K85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M96" i="3"/>
  <c r="K96" i="3"/>
  <c r="I96" i="3"/>
  <c r="M95" i="3"/>
  <c r="K95" i="3"/>
  <c r="I95" i="3"/>
  <c r="M94" i="3"/>
  <c r="K94" i="3"/>
  <c r="I94" i="3"/>
  <c r="M93" i="3"/>
  <c r="K93" i="3"/>
  <c r="I93" i="3"/>
  <c r="M92" i="3"/>
  <c r="K92" i="3"/>
  <c r="I92" i="3"/>
  <c r="M91" i="3"/>
  <c r="K91" i="3"/>
  <c r="I91" i="3"/>
  <c r="M90" i="3"/>
  <c r="K90" i="3"/>
  <c r="I90" i="3"/>
  <c r="M89" i="3"/>
  <c r="K89" i="3"/>
  <c r="I89" i="3"/>
  <c r="M88" i="3"/>
  <c r="K88" i="3"/>
  <c r="I88" i="3"/>
  <c r="M87" i="3"/>
  <c r="K87" i="3"/>
  <c r="I87" i="3"/>
  <c r="M86" i="3"/>
  <c r="K86" i="3"/>
  <c r="I86" i="3"/>
  <c r="M85" i="3"/>
  <c r="H62" i="3"/>
  <c r="I58" i="3"/>
  <c r="I57" i="3"/>
  <c r="I56" i="3"/>
  <c r="I55" i="3"/>
  <c r="I54" i="3"/>
  <c r="I53" i="3"/>
  <c r="I52" i="3"/>
  <c r="I51" i="3"/>
  <c r="I50" i="3"/>
  <c r="I49" i="3"/>
  <c r="I48" i="3"/>
  <c r="I47" i="3"/>
  <c r="F42" i="3"/>
  <c r="G16" i="3"/>
  <c r="G15" i="3"/>
  <c r="G14" i="3"/>
  <c r="G13" i="3"/>
  <c r="G12" i="3"/>
  <c r="G11" i="3"/>
  <c r="G10" i="3"/>
  <c r="G9" i="3"/>
  <c r="G8" i="3"/>
  <c r="G7" i="3"/>
  <c r="G6" i="3"/>
  <c r="G5" i="3"/>
  <c r="F187" i="9" l="1"/>
  <c r="L47" i="3"/>
  <c r="L48" i="3"/>
  <c r="H142" i="3"/>
  <c r="H138" i="3"/>
  <c r="H134" i="3"/>
  <c r="H133" i="3"/>
  <c r="H140" i="3"/>
  <c r="H144" i="3"/>
  <c r="L55" i="3"/>
  <c r="H129" i="3"/>
  <c r="H130" i="3"/>
  <c r="L56" i="3"/>
  <c r="L57" i="3"/>
  <c r="L53" i="3"/>
  <c r="H135" i="3"/>
  <c r="H139" i="3"/>
  <c r="H143" i="3"/>
  <c r="L50" i="3"/>
  <c r="H145" i="3"/>
  <c r="H132" i="3"/>
  <c r="H136" i="3"/>
  <c r="F123" i="3"/>
  <c r="L49" i="3"/>
  <c r="L51" i="3"/>
  <c r="L58" i="3"/>
  <c r="H137" i="3"/>
  <c r="H141" i="3"/>
  <c r="L52" i="3"/>
  <c r="L54" i="3"/>
  <c r="H131" i="3"/>
  <c r="H146" i="3"/>
</calcChain>
</file>

<file path=xl/sharedStrings.xml><?xml version="1.0" encoding="utf-8"?>
<sst xmlns="http://schemas.openxmlformats.org/spreadsheetml/2006/main" count="3321" uniqueCount="635">
  <si>
    <t>Route: Factories to Warehouses</t>
  </si>
  <si>
    <t>Warehouse 1</t>
  </si>
  <si>
    <t>Warehouse 2</t>
  </si>
  <si>
    <t>Warehouse 3</t>
  </si>
  <si>
    <t>Warehouse 4</t>
  </si>
  <si>
    <t>Factory 1</t>
  </si>
  <si>
    <t>Product 1</t>
  </si>
  <si>
    <t>Retailer 1</t>
  </si>
  <si>
    <t>Product 2</t>
  </si>
  <si>
    <t>Product 3</t>
  </si>
  <si>
    <t>Factory 2</t>
  </si>
  <si>
    <t>Retailer 2</t>
  </si>
  <si>
    <t>Factory 3</t>
  </si>
  <si>
    <t>Retailer 3</t>
  </si>
  <si>
    <t>Factory 4</t>
  </si>
  <si>
    <t>Retailer 4</t>
  </si>
  <si>
    <t>Retailer 5</t>
  </si>
  <si>
    <t>Route: Factories to Retailers</t>
  </si>
  <si>
    <t>Retailer 6</t>
  </si>
  <si>
    <t>Route: Warehouses to Retailers</t>
  </si>
  <si>
    <t xml:space="preserve">Decision variable </t>
  </si>
  <si>
    <t>Total</t>
  </si>
  <si>
    <t>Objective</t>
  </si>
  <si>
    <t>quantities shipped factories to warehouses</t>
  </si>
  <si>
    <t>Quantities shipped from factory</t>
  </si>
  <si>
    <t>&lt;=</t>
  </si>
  <si>
    <t>Factory Capacity</t>
  </si>
  <si>
    <t>quanity shipped from WH to retailer</t>
  </si>
  <si>
    <t>equal</t>
  </si>
  <si>
    <t>qty_factory to WH</t>
  </si>
  <si>
    <t>WH capacity</t>
  </si>
  <si>
    <t>w1p1</t>
  </si>
  <si>
    <t>w1p2</t>
  </si>
  <si>
    <t>w1p3</t>
  </si>
  <si>
    <t>w2p1</t>
  </si>
  <si>
    <t>w2p2</t>
  </si>
  <si>
    <t>w2p3</t>
  </si>
  <si>
    <t>w3p1</t>
  </si>
  <si>
    <t>w3p2</t>
  </si>
  <si>
    <t>w3p3</t>
  </si>
  <si>
    <t>w4p1</t>
  </si>
  <si>
    <t>w4p2</t>
  </si>
  <si>
    <t>w4p3</t>
  </si>
  <si>
    <t xml:space="preserve">Total Objective </t>
  </si>
  <si>
    <t>SUM(Quantities_Factories_to_Retailers) + SUM(Quantities_Warehouses_to_Retailers) &gt;= Retailer_Demand</t>
  </si>
  <si>
    <t xml:space="preserve">Retailer demand </t>
  </si>
  <si>
    <t>QTY(f_retailer)</t>
  </si>
  <si>
    <t>QTY(Wh_retailers)</t>
  </si>
  <si>
    <t xml:space="preserve">Total QTY </t>
  </si>
  <si>
    <t>&gt;=</t>
  </si>
  <si>
    <t>R1P1</t>
  </si>
  <si>
    <t>R1P2</t>
  </si>
  <si>
    <t>R1P3</t>
  </si>
  <si>
    <t>R2P1</t>
  </si>
  <si>
    <t>R2P2</t>
  </si>
  <si>
    <t>R2P3</t>
  </si>
  <si>
    <t>R3P1</t>
  </si>
  <si>
    <t>R3P2</t>
  </si>
  <si>
    <t>R3P3</t>
  </si>
  <si>
    <t>R4P1</t>
  </si>
  <si>
    <t>R4P2</t>
  </si>
  <si>
    <t>R4P3</t>
  </si>
  <si>
    <t>R5P1</t>
  </si>
  <si>
    <t>R5P2</t>
  </si>
  <si>
    <t>R5P3</t>
  </si>
  <si>
    <t>R6P1</t>
  </si>
  <si>
    <t>R6P2</t>
  </si>
  <si>
    <t>R6P3</t>
  </si>
  <si>
    <t>Microsoft Excel 16.0 Answer Report</t>
  </si>
  <si>
    <t>Result: Solver found a solution.  All Constraints and optimality conditions are satisfied.</t>
  </si>
  <si>
    <t>Solver Engine</t>
  </si>
  <si>
    <t>Engine: Simplex LP</t>
  </si>
  <si>
    <t>Iterations: 107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</si>
  <si>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</si>
  <si>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</si>
  <si>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</si>
  <si>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</si>
  <si>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</si>
  <si>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</si>
  <si>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</si>
  <si>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</si>
  <si>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$F$123</t>
  </si>
  <si>
    <t>Total Objective  Retailer 4</t>
  </si>
  <si>
    <t>Variable Cells</t>
  </si>
  <si>
    <t>Integer</t>
  </si>
  <si>
    <t>$C$5</t>
  </si>
  <si>
    <t>Product 1 Warehouse 1</t>
  </si>
  <si>
    <t>Contin</t>
  </si>
  <si>
    <t>$D$5</t>
  </si>
  <si>
    <t>Product 1 Warehouse 2</t>
  </si>
  <si>
    <t>$E$5</t>
  </si>
  <si>
    <t>Product 1 Warehouse 3</t>
  </si>
  <si>
    <t>$F$5</t>
  </si>
  <si>
    <t>Product 1 Warehouse 4</t>
  </si>
  <si>
    <t>$C$6</t>
  </si>
  <si>
    <t>Product 2 Warehouse 1</t>
  </si>
  <si>
    <t>$D$6</t>
  </si>
  <si>
    <t>Product 2 Warehouse 2</t>
  </si>
  <si>
    <t>$E$6</t>
  </si>
  <si>
    <t>Product 2 Warehouse 3</t>
  </si>
  <si>
    <t>$F$6</t>
  </si>
  <si>
    <t>Product 2 Warehouse 4</t>
  </si>
  <si>
    <t>$C$7</t>
  </si>
  <si>
    <t>Product 3 Warehouse 1</t>
  </si>
  <si>
    <t>$D$7</t>
  </si>
  <si>
    <t>Product 3 Warehouse 2</t>
  </si>
  <si>
    <t>$E$7</t>
  </si>
  <si>
    <t>Product 3 Warehouse 3</t>
  </si>
  <si>
    <t>$F$7</t>
  </si>
  <si>
    <t>Product 3 Warehouse 4</t>
  </si>
  <si>
    <t>$C$8</t>
  </si>
  <si>
    <t>$D$8</t>
  </si>
  <si>
    <t>$E$8</t>
  </si>
  <si>
    <t>$F$8</t>
  </si>
  <si>
    <t>$C$9</t>
  </si>
  <si>
    <t>$D$9</t>
  </si>
  <si>
    <t>$E$9</t>
  </si>
  <si>
    <t>$F$9</t>
  </si>
  <si>
    <t>$C$10</t>
  </si>
  <si>
    <t>$D$10</t>
  </si>
  <si>
    <t>$E$10</t>
  </si>
  <si>
    <t>$F$10</t>
  </si>
  <si>
    <t>$C$11</t>
  </si>
  <si>
    <t>$D$11</t>
  </si>
  <si>
    <t>$E$11</t>
  </si>
  <si>
    <t>$F$11</t>
  </si>
  <si>
    <t>$C$12</t>
  </si>
  <si>
    <t>$D$12</t>
  </si>
  <si>
    <t>$E$12</t>
  </si>
  <si>
    <t>$F$12</t>
  </si>
  <si>
    <t>$C$13</t>
  </si>
  <si>
    <t>$D$13</t>
  </si>
  <si>
    <t>$E$13</t>
  </si>
  <si>
    <t>$F$13</t>
  </si>
  <si>
    <t>$C$14</t>
  </si>
  <si>
    <t>$D$14</t>
  </si>
  <si>
    <t>$E$14</t>
  </si>
  <si>
    <t>$F$14</t>
  </si>
  <si>
    <t>$C$15</t>
  </si>
  <si>
    <t>$D$15</t>
  </si>
  <si>
    <t>$E$15</t>
  </si>
  <si>
    <t>$F$15</t>
  </si>
  <si>
    <t>$C$16</t>
  </si>
  <si>
    <t>$D$16</t>
  </si>
  <si>
    <t>$E$16</t>
  </si>
  <si>
    <t>$F$16</t>
  </si>
  <si>
    <t>$C$47</t>
  </si>
  <si>
    <t>Product 1 Retailer 1</t>
  </si>
  <si>
    <t>$D$47</t>
  </si>
  <si>
    <t>Product 1 Retailer 2</t>
  </si>
  <si>
    <t>$E$47</t>
  </si>
  <si>
    <t>Product 1 Retailer 3</t>
  </si>
  <si>
    <t>$F$47</t>
  </si>
  <si>
    <t>Product 1 Retailer 4</t>
  </si>
  <si>
    <t>$G$47</t>
  </si>
  <si>
    <t>Product 1 Retailer 5</t>
  </si>
  <si>
    <t>$H$47</t>
  </si>
  <si>
    <t>Product 1 Retailer 6</t>
  </si>
  <si>
    <t>$C$48</t>
  </si>
  <si>
    <t>Product 2 Retailer 1</t>
  </si>
  <si>
    <t>$D$48</t>
  </si>
  <si>
    <t>Product 2 Retailer 2</t>
  </si>
  <si>
    <t>$E$48</t>
  </si>
  <si>
    <t>Product 2 Retailer 3</t>
  </si>
  <si>
    <t>$F$48</t>
  </si>
  <si>
    <t>Product 2 Retailer 4</t>
  </si>
  <si>
    <t>$G$48</t>
  </si>
  <si>
    <t>Product 2 Retailer 5</t>
  </si>
  <si>
    <t>$H$48</t>
  </si>
  <si>
    <t>Product 2 Retailer 6</t>
  </si>
  <si>
    <t>$C$49</t>
  </si>
  <si>
    <t>Product 3 Retailer 1</t>
  </si>
  <si>
    <t>$D$49</t>
  </si>
  <si>
    <t>Product 3 Retailer 2</t>
  </si>
  <si>
    <t>$E$49</t>
  </si>
  <si>
    <t>Product 3 Retailer 3</t>
  </si>
  <si>
    <t>$F$49</t>
  </si>
  <si>
    <t>Product 3 Retailer 4</t>
  </si>
  <si>
    <t>$G$49</t>
  </si>
  <si>
    <t>Product 3 Retailer 5</t>
  </si>
  <si>
    <t>$H$49</t>
  </si>
  <si>
    <t>Product 3 Retailer 6</t>
  </si>
  <si>
    <t>$C$50</t>
  </si>
  <si>
    <t>$D$50</t>
  </si>
  <si>
    <t>$E$50</t>
  </si>
  <si>
    <t>$F$50</t>
  </si>
  <si>
    <t>$G$50</t>
  </si>
  <si>
    <t>$H$50</t>
  </si>
  <si>
    <t>$C$51</t>
  </si>
  <si>
    <t>$D$51</t>
  </si>
  <si>
    <t>$E$51</t>
  </si>
  <si>
    <t>$F$51</t>
  </si>
  <si>
    <t>$G$51</t>
  </si>
  <si>
    <t>$H$51</t>
  </si>
  <si>
    <t>$C$52</t>
  </si>
  <si>
    <t>$D$52</t>
  </si>
  <si>
    <t>$E$52</t>
  </si>
  <si>
    <t>$F$52</t>
  </si>
  <si>
    <t>$G$52</t>
  </si>
  <si>
    <t>$H$52</t>
  </si>
  <si>
    <t>$C$53</t>
  </si>
  <si>
    <t>$D$53</t>
  </si>
  <si>
    <t>$E$53</t>
  </si>
  <si>
    <t>$F$53</t>
  </si>
  <si>
    <t>$G$53</t>
  </si>
  <si>
    <t>$H$53</t>
  </si>
  <si>
    <t>$C$54</t>
  </si>
  <si>
    <t>$D$54</t>
  </si>
  <si>
    <t>$E$54</t>
  </si>
  <si>
    <t>$F$54</t>
  </si>
  <si>
    <t>$G$54</t>
  </si>
  <si>
    <t>$H$54</t>
  </si>
  <si>
    <t>$C$55</t>
  </si>
  <si>
    <t>$D$55</t>
  </si>
  <si>
    <t>$E$55</t>
  </si>
  <si>
    <t>$F$55</t>
  </si>
  <si>
    <t>$G$55</t>
  </si>
  <si>
    <t>$H$55</t>
  </si>
  <si>
    <t>$C$56</t>
  </si>
  <si>
    <t>$D$56</t>
  </si>
  <si>
    <t>$E$56</t>
  </si>
  <si>
    <t>$F$56</t>
  </si>
  <si>
    <t>$G$56</t>
  </si>
  <si>
    <t>$H$56</t>
  </si>
  <si>
    <t>$C$57</t>
  </si>
  <si>
    <t>$D$57</t>
  </si>
  <si>
    <t>$E$57</t>
  </si>
  <si>
    <t>$F$57</t>
  </si>
  <si>
    <t>$G$57</t>
  </si>
  <si>
    <t>$H$57</t>
  </si>
  <si>
    <t>$C$58</t>
  </si>
  <si>
    <t>$D$58</t>
  </si>
  <si>
    <t>$E$58</t>
  </si>
  <si>
    <t>$F$58</t>
  </si>
  <si>
    <t>$G$58</t>
  </si>
  <si>
    <t>$H$58</t>
  </si>
  <si>
    <t>$C$85</t>
  </si>
  <si>
    <t>$D$85</t>
  </si>
  <si>
    <t>$E$85</t>
  </si>
  <si>
    <t>$F$85</t>
  </si>
  <si>
    <t>$G$85</t>
  </si>
  <si>
    <t>$H$85</t>
  </si>
  <si>
    <t>$C$86</t>
  </si>
  <si>
    <t>$D$86</t>
  </si>
  <si>
    <t>$E$86</t>
  </si>
  <si>
    <t>$F$86</t>
  </si>
  <si>
    <t>$G$86</t>
  </si>
  <si>
    <t>$H$86</t>
  </si>
  <si>
    <t>$C$87</t>
  </si>
  <si>
    <t>$D$87</t>
  </si>
  <si>
    <t>$E$87</t>
  </si>
  <si>
    <t>$F$87</t>
  </si>
  <si>
    <t>$G$87</t>
  </si>
  <si>
    <t>$H$87</t>
  </si>
  <si>
    <t>$C$88</t>
  </si>
  <si>
    <t>$D$88</t>
  </si>
  <si>
    <t>$E$88</t>
  </si>
  <si>
    <t>$F$88</t>
  </si>
  <si>
    <t>$G$88</t>
  </si>
  <si>
    <t>$H$88</t>
  </si>
  <si>
    <t>$C$89</t>
  </si>
  <si>
    <t>$D$89</t>
  </si>
  <si>
    <t>$E$89</t>
  </si>
  <si>
    <t>$F$89</t>
  </si>
  <si>
    <t>$G$89</t>
  </si>
  <si>
    <t>$H$89</t>
  </si>
  <si>
    <t>$C$90</t>
  </si>
  <si>
    <t>$D$90</t>
  </si>
  <si>
    <t>$E$90</t>
  </si>
  <si>
    <t>$F$90</t>
  </si>
  <si>
    <t>$G$90</t>
  </si>
  <si>
    <t>$H$90</t>
  </si>
  <si>
    <t>$C$91</t>
  </si>
  <si>
    <t>$D$91</t>
  </si>
  <si>
    <t>$E$91</t>
  </si>
  <si>
    <t>$F$91</t>
  </si>
  <si>
    <t>$G$91</t>
  </si>
  <si>
    <t>$H$91</t>
  </si>
  <si>
    <t>$C$92</t>
  </si>
  <si>
    <t>$D$92</t>
  </si>
  <si>
    <t>$E$92</t>
  </si>
  <si>
    <t>$F$92</t>
  </si>
  <si>
    <t>$G$92</t>
  </si>
  <si>
    <t>$H$92</t>
  </si>
  <si>
    <t>$C$93</t>
  </si>
  <si>
    <t>$D$93</t>
  </si>
  <si>
    <t>$E$93</t>
  </si>
  <si>
    <t>$F$93</t>
  </si>
  <si>
    <t>$G$93</t>
  </si>
  <si>
    <t>$H$93</t>
  </si>
  <si>
    <t>$C$94</t>
  </si>
  <si>
    <t>$D$94</t>
  </si>
  <si>
    <t>$E$94</t>
  </si>
  <si>
    <t>$F$94</t>
  </si>
  <si>
    <t>$G$94</t>
  </si>
  <si>
    <t>$H$94</t>
  </si>
  <si>
    <t>$C$95</t>
  </si>
  <si>
    <t>$D$95</t>
  </si>
  <si>
    <t>$E$95</t>
  </si>
  <si>
    <t>$F$95</t>
  </si>
  <si>
    <t>$G$95</t>
  </si>
  <si>
    <t>$H$95</t>
  </si>
  <si>
    <t>$C$96</t>
  </si>
  <si>
    <t>$D$96</t>
  </si>
  <si>
    <t>$E$96</t>
  </si>
  <si>
    <t>$F$96</t>
  </si>
  <si>
    <t>$G$96</t>
  </si>
  <si>
    <t>$H$96</t>
  </si>
  <si>
    <t>Constraints</t>
  </si>
  <si>
    <t>Cell Value</t>
  </si>
  <si>
    <t>Formula</t>
  </si>
  <si>
    <t>Status</t>
  </si>
  <si>
    <t>Slack</t>
  </si>
  <si>
    <t>$H$131</t>
  </si>
  <si>
    <t>$H$131&gt;=$K$131</t>
  </si>
  <si>
    <t>Binding</t>
  </si>
  <si>
    <t>$H$132</t>
  </si>
  <si>
    <t>$H$132&gt;=$K$132</t>
  </si>
  <si>
    <t>$H$133</t>
  </si>
  <si>
    <t>$H$133&gt;=$K$133</t>
  </si>
  <si>
    <t>$H$134</t>
  </si>
  <si>
    <t>$H$134&gt;=$K$134</t>
  </si>
  <si>
    <t>$H$135</t>
  </si>
  <si>
    <t>$H$135&gt;=$K$135</t>
  </si>
  <si>
    <t>$H$136</t>
  </si>
  <si>
    <t>$H$136&gt;=$K$136</t>
  </si>
  <si>
    <t>$H$137</t>
  </si>
  <si>
    <t>$H$137&gt;=$K$137</t>
  </si>
  <si>
    <t>$H$138</t>
  </si>
  <si>
    <t>$H$138&gt;=$K$138</t>
  </si>
  <si>
    <t>$H$139</t>
  </si>
  <si>
    <t>$H$139&gt;=$K$139</t>
  </si>
  <si>
    <t>$H$140</t>
  </si>
  <si>
    <t>$H$140&gt;=$K$140</t>
  </si>
  <si>
    <t>$H$141</t>
  </si>
  <si>
    <t>$H$141&gt;=$K$141</t>
  </si>
  <si>
    <t>$H$142</t>
  </si>
  <si>
    <t>$H$142&gt;=$K$142</t>
  </si>
  <si>
    <t>$H$143</t>
  </si>
  <si>
    <t>$H$143&gt;=$K$143</t>
  </si>
  <si>
    <t>$H$144</t>
  </si>
  <si>
    <t>$H$144&gt;=$K$144</t>
  </si>
  <si>
    <t>$H$145</t>
  </si>
  <si>
    <t>$H$145&gt;=$K$145</t>
  </si>
  <si>
    <t>$H$146</t>
  </si>
  <si>
    <t>$H$146&gt;=$K$146</t>
  </si>
  <si>
    <t>$K$85</t>
  </si>
  <si>
    <t>Product 1 quanity shipped from WH to retailer</t>
  </si>
  <si>
    <t>$K$85&lt;=$O$85</t>
  </si>
  <si>
    <t>Not Binding</t>
  </si>
  <si>
    <t>$K$86</t>
  </si>
  <si>
    <t>Product 2 quanity shipped from WH to retailer</t>
  </si>
  <si>
    <t>$K$86&lt;=$O$86</t>
  </si>
  <si>
    <t>$K$87</t>
  </si>
  <si>
    <t>Product 3 quanity shipped from WH to retailer</t>
  </si>
  <si>
    <t>$K$87&lt;=$O$87</t>
  </si>
  <si>
    <t>$K$88</t>
  </si>
  <si>
    <t>$K$88&lt;=$O$88</t>
  </si>
  <si>
    <t>$K$89</t>
  </si>
  <si>
    <t>$K$89&lt;=$O$89</t>
  </si>
  <si>
    <t>$K$90</t>
  </si>
  <si>
    <t>$K$90&lt;=$O$90</t>
  </si>
  <si>
    <t>$K$91</t>
  </si>
  <si>
    <t>$K$91&lt;=$O$91</t>
  </si>
  <si>
    <t>$K$92</t>
  </si>
  <si>
    <t>$K$92&lt;=$O$92</t>
  </si>
  <si>
    <t>$K$93</t>
  </si>
  <si>
    <t>$K$93&lt;=$O$93</t>
  </si>
  <si>
    <t>$K$94</t>
  </si>
  <si>
    <t>$K$94&lt;=$O$94</t>
  </si>
  <si>
    <t>$K$95</t>
  </si>
  <si>
    <t>$K$95&lt;=$O$95</t>
  </si>
  <si>
    <t>$K$96</t>
  </si>
  <si>
    <t>$K$96&lt;=$O$96</t>
  </si>
  <si>
    <t>$K$85=$M$85</t>
  </si>
  <si>
    <t>$K$86=$M$86</t>
  </si>
  <si>
    <t>$K$87=$M$87</t>
  </si>
  <si>
    <t>$K$88=$M$88</t>
  </si>
  <si>
    <t>$K$89=$M$89</t>
  </si>
  <si>
    <t>$K$90=$M$90</t>
  </si>
  <si>
    <t>$K$91=$M$91</t>
  </si>
  <si>
    <t>$K$92=$M$92</t>
  </si>
  <si>
    <t>$K$93=$M$93</t>
  </si>
  <si>
    <t>$K$94=$M$94</t>
  </si>
  <si>
    <t>$K$95=$M$95</t>
  </si>
  <si>
    <t>$K$96=$M$96</t>
  </si>
  <si>
    <t>$L$47</t>
  </si>
  <si>
    <t>Product 1 Quantities shipped from factory</t>
  </si>
  <si>
    <t>$L$47&lt;=$N$47</t>
  </si>
  <si>
    <t>$L$48</t>
  </si>
  <si>
    <t>Product 2 Quantities shipped from factory</t>
  </si>
  <si>
    <t>$L$48&lt;=$N$48</t>
  </si>
  <si>
    <t>$L$49</t>
  </si>
  <si>
    <t>Product 3 Quantities shipped from factory</t>
  </si>
  <si>
    <t>$L$49&lt;=$N$49</t>
  </si>
  <si>
    <t>$L$50</t>
  </si>
  <si>
    <t>$L$50&lt;=$N$50</t>
  </si>
  <si>
    <t>$L$51</t>
  </si>
  <si>
    <t>$L$51&lt;=$N$51</t>
  </si>
  <si>
    <t>$L$52</t>
  </si>
  <si>
    <t>$L$52&lt;=$N$52</t>
  </si>
  <si>
    <t>$L$53</t>
  </si>
  <si>
    <t>$L$53&lt;=$N$53</t>
  </si>
  <si>
    <t>$L$54</t>
  </si>
  <si>
    <t>$L$54&lt;=$N$54</t>
  </si>
  <si>
    <t>$L$55</t>
  </si>
  <si>
    <t>$L$55&lt;=$N$55</t>
  </si>
  <si>
    <t>$L$56</t>
  </si>
  <si>
    <t>$L$56&lt;=$N$56</t>
  </si>
  <si>
    <t>$L$57</t>
  </si>
  <si>
    <t>$L$57&lt;=$N$57</t>
  </si>
  <si>
    <t>$L$58</t>
  </si>
  <si>
    <t>$L$58&lt;=$N$58</t>
  </si>
  <si>
    <t>Microsoft Excel 16.0 Sensitivity Report</t>
  </si>
  <si>
    <t>Final</t>
  </si>
  <si>
    <t>Reduced</t>
  </si>
  <si>
    <t>Allowable</t>
  </si>
  <si>
    <t>Value</t>
  </si>
  <si>
    <t>Cost</t>
  </si>
  <si>
    <t>Coefficient</t>
  </si>
  <si>
    <t>Increase</t>
  </si>
  <si>
    <t>Decrease</t>
  </si>
  <si>
    <t>Shadow</t>
  </si>
  <si>
    <t>Constraint</t>
  </si>
  <si>
    <t>Price</t>
  </si>
  <si>
    <t>R.H. Side</t>
  </si>
  <si>
    <t>Carbon emission factory to warehouses</t>
  </si>
  <si>
    <t>From/To</t>
  </si>
  <si>
    <t>Carbon Emissions * Carbon Cost Factor (£10)+transportation cost</t>
  </si>
  <si>
    <t>F1</t>
  </si>
  <si>
    <t>F2</t>
  </si>
  <si>
    <t>Carbon emission cost</t>
  </si>
  <si>
    <t>QTY(factory_retailer)</t>
  </si>
  <si>
    <t>QTY(Warehouse_retailers)</t>
  </si>
  <si>
    <t>Retailer Constraint = SUM(Quantities_Factories_to_Retailers) + SUM(Quantities_Warehouses_to_Retailers) &gt;= Retailer_Demand</t>
  </si>
  <si>
    <t>Max Time Unlimited,  Iterations Unlimited, Precision 0.000001</t>
  </si>
  <si>
    <t>$C$104</t>
  </si>
  <si>
    <t>$D$104</t>
  </si>
  <si>
    <t>$E$104</t>
  </si>
  <si>
    <t>$F$104</t>
  </si>
  <si>
    <t>$G$104</t>
  </si>
  <si>
    <t>$H$104</t>
  </si>
  <si>
    <t>$C$105</t>
  </si>
  <si>
    <t>$D$105</t>
  </si>
  <si>
    <t>$E$105</t>
  </si>
  <si>
    <t>$F$105</t>
  </si>
  <si>
    <t>$G$105</t>
  </si>
  <si>
    <t>$H$105</t>
  </si>
  <si>
    <t>$C$106</t>
  </si>
  <si>
    <t>$D$106</t>
  </si>
  <si>
    <t>$E$106</t>
  </si>
  <si>
    <t>$F$106</t>
  </si>
  <si>
    <t>$G$106</t>
  </si>
  <si>
    <t>$H$106</t>
  </si>
  <si>
    <t>$C$107</t>
  </si>
  <si>
    <t>$D$107</t>
  </si>
  <si>
    <t>$E$107</t>
  </si>
  <si>
    <t>$F$107</t>
  </si>
  <si>
    <t>$G$107</t>
  </si>
  <si>
    <t>$H$107</t>
  </si>
  <si>
    <t>$C$108</t>
  </si>
  <si>
    <t>$D$108</t>
  </si>
  <si>
    <t>$E$108</t>
  </si>
  <si>
    <t>$F$108</t>
  </si>
  <si>
    <t>$G$108</t>
  </si>
  <si>
    <t>$H$108</t>
  </si>
  <si>
    <t>$C$109</t>
  </si>
  <si>
    <t>$D$109</t>
  </si>
  <si>
    <t>$E$109</t>
  </si>
  <si>
    <t>$F$109</t>
  </si>
  <si>
    <t>$G$109</t>
  </si>
  <si>
    <t>$H$109</t>
  </si>
  <si>
    <t>$C$110</t>
  </si>
  <si>
    <t>$D$110</t>
  </si>
  <si>
    <t>$E$110</t>
  </si>
  <si>
    <t>$F$110</t>
  </si>
  <si>
    <t>$G$110</t>
  </si>
  <si>
    <t>$H$110</t>
  </si>
  <si>
    <t>$C$111</t>
  </si>
  <si>
    <t>$D$111</t>
  </si>
  <si>
    <t>$E$111</t>
  </si>
  <si>
    <t>$F$111</t>
  </si>
  <si>
    <t>$G$111</t>
  </si>
  <si>
    <t>$H$111</t>
  </si>
  <si>
    <t>$C$112</t>
  </si>
  <si>
    <t>$D$112</t>
  </si>
  <si>
    <t>$E$112</t>
  </si>
  <si>
    <t>$F$112</t>
  </si>
  <si>
    <t>$G$112</t>
  </si>
  <si>
    <t>$H$112</t>
  </si>
  <si>
    <t>$C$113</t>
  </si>
  <si>
    <t>$D$113</t>
  </si>
  <si>
    <t>$E$113</t>
  </si>
  <si>
    <t>$F$113</t>
  </si>
  <si>
    <t>$G$113</t>
  </si>
  <si>
    <t>$H$113</t>
  </si>
  <si>
    <t>$C$114</t>
  </si>
  <si>
    <t>$D$114</t>
  </si>
  <si>
    <t>$E$114</t>
  </si>
  <si>
    <t>$F$114</t>
  </si>
  <si>
    <t>$G$114</t>
  </si>
  <si>
    <t>$H$114</t>
  </si>
  <si>
    <t>$H$172</t>
  </si>
  <si>
    <t>$H$172&gt;=$K$172</t>
  </si>
  <si>
    <t>$H$173</t>
  </si>
  <si>
    <t>$H$173&gt;=$K$173</t>
  </si>
  <si>
    <t>$H$174</t>
  </si>
  <si>
    <t>$H$174&gt;=$K$174</t>
  </si>
  <si>
    <t>$H$175</t>
  </si>
  <si>
    <t>$H$175&gt;=$K$175</t>
  </si>
  <si>
    <t>$H$176</t>
  </si>
  <si>
    <t>$H$176&gt;=$K$176</t>
  </si>
  <si>
    <t>$H$177</t>
  </si>
  <si>
    <t>$H$177&gt;=$K$177</t>
  </si>
  <si>
    <t>$H$178</t>
  </si>
  <si>
    <t>$H$178&gt;=$K$178</t>
  </si>
  <si>
    <t>$H$179</t>
  </si>
  <si>
    <t>$H$179&gt;=$K$179</t>
  </si>
  <si>
    <t>$H$180</t>
  </si>
  <si>
    <t>$H$180&gt;=$K$180</t>
  </si>
  <si>
    <t>$H$181</t>
  </si>
  <si>
    <t>$H$181&gt;=$K$181</t>
  </si>
  <si>
    <t>$H$182</t>
  </si>
  <si>
    <t>$H$182&gt;=$K$182</t>
  </si>
  <si>
    <t>$K$104</t>
  </si>
  <si>
    <t>$K$104=$M$104</t>
  </si>
  <si>
    <t>$K$105</t>
  </si>
  <si>
    <t>$K$105=$M$105</t>
  </si>
  <si>
    <t>$K$106</t>
  </si>
  <si>
    <t>$K$106=$M$106</t>
  </si>
  <si>
    <t>$K$107</t>
  </si>
  <si>
    <t>$K$107=$M$107</t>
  </si>
  <si>
    <t>$K$108</t>
  </si>
  <si>
    <t>$K$108=$M$108</t>
  </si>
  <si>
    <t>$K$109</t>
  </si>
  <si>
    <t>$K$109=$M$109</t>
  </si>
  <si>
    <t>$K$110</t>
  </si>
  <si>
    <t>$K$110=$M$110</t>
  </si>
  <si>
    <t>$K$111</t>
  </si>
  <si>
    <t>$K$111=$M$111</t>
  </si>
  <si>
    <t>$K$112</t>
  </si>
  <si>
    <t>$K$112=$M$112</t>
  </si>
  <si>
    <t>$K$113</t>
  </si>
  <si>
    <t>$K$113=$M$113</t>
  </si>
  <si>
    <t>$K$114</t>
  </si>
  <si>
    <t>$K$114=$M$114</t>
  </si>
  <si>
    <t>equal qty_factory to WH</t>
  </si>
  <si>
    <t>$M$104</t>
  </si>
  <si>
    <t>$M$104&lt;=$O$104</t>
  </si>
  <si>
    <t>$M$105</t>
  </si>
  <si>
    <t>$M$105&lt;=$O$105</t>
  </si>
  <si>
    <t>$M$106</t>
  </si>
  <si>
    <t>$M$106&lt;=$O$106</t>
  </si>
  <si>
    <t>$M$107</t>
  </si>
  <si>
    <t>$M$107&lt;=$O$107</t>
  </si>
  <si>
    <t>$M$108</t>
  </si>
  <si>
    <t>$M$108&lt;=$O$108</t>
  </si>
  <si>
    <t>$M$109</t>
  </si>
  <si>
    <t>$M$109&lt;=$O$109</t>
  </si>
  <si>
    <t>$M$110</t>
  </si>
  <si>
    <t>$M$110&lt;=$O$110</t>
  </si>
  <si>
    <t>$M$111</t>
  </si>
  <si>
    <t>$M$111&lt;=$O$111</t>
  </si>
  <si>
    <t>$M$112</t>
  </si>
  <si>
    <t>$M$112&lt;=$O$112</t>
  </si>
  <si>
    <t>$M$113</t>
  </si>
  <si>
    <t>$M$113&lt;=$O$113</t>
  </si>
  <si>
    <t>$M$114</t>
  </si>
  <si>
    <t>$M$114&lt;=$O$114</t>
  </si>
  <si>
    <t>$H$129</t>
  </si>
  <si>
    <t>$H$129&gt;=$K$129</t>
  </si>
  <si>
    <t>$H$130</t>
  </si>
  <si>
    <t>$H$130&gt;=$K$130</t>
  </si>
  <si>
    <t>Worksheet: [BMD0001ManSci24-25 - Data sheet.xlsx]Question 2</t>
  </si>
  <si>
    <t>Report Created: 12/9/2024 4:05:48 PM</t>
  </si>
  <si>
    <t>Solution Time: 0.796 Seconds.</t>
  </si>
  <si>
    <t>Report Created: 12/9/2024 4:05:57 PM</t>
  </si>
  <si>
    <t>UESTI</t>
  </si>
  <si>
    <t>Objective( Factory to Warehouse)</t>
  </si>
  <si>
    <t>Quantities transported from Factory f  to Warehouse w</t>
  </si>
  <si>
    <t>quantities transported factories to retailer</t>
  </si>
  <si>
    <t>objective(Factory to Retailer)</t>
  </si>
  <si>
    <t>quantities transported warehouse to retailer</t>
  </si>
  <si>
    <t>objective warehouse to retailer</t>
  </si>
  <si>
    <t>warehouse balance contraint</t>
  </si>
  <si>
    <t>warehouse capacity constraint</t>
  </si>
  <si>
    <t>Factory Capacity Constraint</t>
  </si>
  <si>
    <t>Retailer capacity Constraint</t>
  </si>
  <si>
    <t>Total QTY</t>
  </si>
  <si>
    <t>Carbon emission factory to retailer</t>
  </si>
  <si>
    <t>Iterations: 84 Subproblems: 0</t>
  </si>
  <si>
    <t>quantities shipped factories to retailers</t>
  </si>
  <si>
    <t>Objective factory to warehouse</t>
  </si>
  <si>
    <t xml:space="preserve">objective factory to retailer </t>
  </si>
  <si>
    <t>Worksheet: [BMD0001ManSci24-25 - Answer Report (version 1).xlsx]Question 3</t>
  </si>
  <si>
    <t>Report Created: 12/10/2024 1:55:08 PM</t>
  </si>
  <si>
    <t>Solution Time: 0.203 Seconds.</t>
  </si>
  <si>
    <t>$F$186</t>
  </si>
  <si>
    <t>Total Objective  QTY(f_retailer)</t>
  </si>
  <si>
    <t>$C$59</t>
  </si>
  <si>
    <t>$D$59</t>
  </si>
  <si>
    <t>$E$59</t>
  </si>
  <si>
    <t>$F$59</t>
  </si>
  <si>
    <t>$G$59</t>
  </si>
  <si>
    <t>$H$59</t>
  </si>
  <si>
    <t>$C$115</t>
  </si>
  <si>
    <t>$D$115</t>
  </si>
  <si>
    <t>$E$115</t>
  </si>
  <si>
    <t>$F$115</t>
  </si>
  <si>
    <t>$G$115</t>
  </si>
  <si>
    <t>$H$115</t>
  </si>
  <si>
    <t>$H$165</t>
  </si>
  <si>
    <t>$H$165&gt;=$K$165</t>
  </si>
  <si>
    <t>$H$166</t>
  </si>
  <si>
    <t>$H$166&gt;=$K$166</t>
  </si>
  <si>
    <t>$H$167</t>
  </si>
  <si>
    <t>$H$167&gt;=$K$167</t>
  </si>
  <si>
    <t>$H$168</t>
  </si>
  <si>
    <t>$H$168&gt;=$K$168</t>
  </si>
  <si>
    <t>$H$169</t>
  </si>
  <si>
    <t>$H$169&gt;=$K$169</t>
  </si>
  <si>
    <t>$H$170</t>
  </si>
  <si>
    <t>$H$170&gt;=$K$170</t>
  </si>
  <si>
    <t>$H$171</t>
  </si>
  <si>
    <t>$H$171&gt;=$K$171</t>
  </si>
  <si>
    <t>$K$115</t>
  </si>
  <si>
    <t>$K$115=$M$115</t>
  </si>
  <si>
    <t>$L$59</t>
  </si>
  <si>
    <t>$L$59&lt;=$N$59</t>
  </si>
  <si>
    <t>$M$115</t>
  </si>
  <si>
    <t>$M$115&lt;=$O$115</t>
  </si>
  <si>
    <t>Report Created: 12/10/2024 1:55:14 PM</t>
  </si>
  <si>
    <t>Total Cost ( factory to warehouse)</t>
  </si>
  <si>
    <t>Total Cost factory to retailer</t>
  </si>
  <si>
    <t>Total Cost warehouse to retailer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</si>
</sst>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£&quot;#,##0.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 tint="-0.49998474074526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11111"/>
      <name val="Segoe UI"/>
      <family val="2"/>
    </font>
    <font>
      <b/>
      <sz val="11"/>
      <color indexed="18"/>
      <name val="Calibri"/>
      <family val="2"/>
      <scheme val="minor"/>
    </font>
    <font>
      <sz val="8"/>
      <color rgb="FF242424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/>
    <xf numFmtId="0" fontId="6" fillId="0" borderId="0" xfId="0" applyFont="1"/>
    <xf numFmtId="0" fontId="0" fillId="3" borderId="0" xfId="0" applyFill="1"/>
    <xf numFmtId="0" fontId="0" fillId="0" borderId="0" xfId="1" applyNumberFormat="1" applyFont="1"/>
    <xf numFmtId="0" fontId="1" fillId="4" borderId="1" xfId="0" applyFont="1" applyFill="1" applyBorder="1"/>
    <xf numFmtId="0" fontId="0" fillId="4" borderId="1" xfId="1" applyNumberFormat="1" applyFont="1" applyFill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/>
    <xf numFmtId="0" fontId="1" fillId="5" borderId="0" xfId="0" applyFont="1" applyFill="1"/>
    <xf numFmtId="0" fontId="0" fillId="5" borderId="0" xfId="0" applyFill="1"/>
    <xf numFmtId="0" fontId="1" fillId="4" borderId="2" xfId="0" applyFont="1" applyFill="1" applyBorder="1"/>
    <xf numFmtId="0" fontId="0" fillId="4" borderId="2" xfId="0" applyFill="1" applyBorder="1"/>
    <xf numFmtId="0" fontId="5" fillId="0" borderId="0" xfId="0" applyFont="1"/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6" borderId="0" xfId="0" applyFill="1"/>
    <xf numFmtId="0" fontId="8" fillId="0" borderId="0" xfId="0" applyFont="1"/>
    <xf numFmtId="0" fontId="0" fillId="2" borderId="0" xfId="0" applyFill="1"/>
    <xf numFmtId="0" fontId="0" fillId="0" borderId="6" xfId="0" applyBorder="1"/>
    <xf numFmtId="0" fontId="7" fillId="0" borderId="5" xfId="0" applyFont="1" applyBorder="1" applyAlignment="1">
      <alignment horizontal="center"/>
    </xf>
    <xf numFmtId="0" fontId="0" fillId="0" borderId="7" xfId="0" applyBorder="1"/>
    <xf numFmtId="4" fontId="0" fillId="0" borderId="6" xfId="0" applyNumberForma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1" fontId="0" fillId="0" borderId="7" xfId="0" applyNumberFormat="1" applyBorder="1"/>
    <xf numFmtId="0" fontId="0" fillId="3" borderId="0" xfId="0" applyFill="1" applyAlignment="1">
      <alignment wrapText="1"/>
    </xf>
    <xf numFmtId="4" fontId="4" fillId="6" borderId="0" xfId="0" applyNumberFormat="1" applyFont="1" applyFill="1"/>
    <xf numFmtId="0" fontId="0" fillId="7" borderId="0" xfId="0" applyFill="1"/>
    <xf numFmtId="0" fontId="0" fillId="7" borderId="0" xfId="0" applyFill="1" applyAlignment="1">
      <alignment wrapText="1"/>
    </xf>
    <xf numFmtId="0" fontId="0" fillId="8" borderId="0" xfId="0" applyFill="1"/>
    <xf numFmtId="0" fontId="1" fillId="6" borderId="0" xfId="0" applyFont="1" applyFill="1" applyAlignment="1">
      <alignment wrapText="1"/>
    </xf>
    <xf numFmtId="0" fontId="0" fillId="4" borderId="1" xfId="0" applyFill="1" applyBorder="1"/>
    <xf numFmtId="0" fontId="1" fillId="6" borderId="0" xfId="0" applyFont="1" applyFill="1"/>
    <xf numFmtId="0" fontId="5" fillId="6" borderId="0" xfId="0" applyFont="1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164" fontId="1" fillId="6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146"/>
  <sheetViews>
    <sheetView workbookViewId="0">
      <selection activeCell="C2" sqref="C2:F2"/>
    </sheetView>
  </sheetViews>
  <sheetFormatPr defaultRowHeight="14.4" x14ac:dyDescent="0.3"/>
  <cols>
    <col min="1" max="1" width="13.33203125" customWidth="1"/>
    <col min="2" max="2" width="9.44140625" customWidth="1"/>
    <col min="3" max="3" width="17.33203125" customWidth="1"/>
    <col min="4" max="4" width="18.109375" customWidth="1"/>
    <col min="5" max="5" width="14.6640625" customWidth="1"/>
    <col min="6" max="6" width="18.109375" customWidth="1"/>
    <col min="7" max="7" width="22.6640625" customWidth="1"/>
    <col min="8" max="8" width="16.33203125" customWidth="1"/>
    <col min="11" max="11" width="14.6640625" customWidth="1"/>
    <col min="12" max="12" width="14.33203125" customWidth="1"/>
    <col min="13" max="13" width="16.33203125" customWidth="1"/>
    <col min="14" max="14" width="13.33203125" customWidth="1"/>
    <col min="15" max="15" width="13" customWidth="1"/>
    <col min="16" max="16" width="13.6640625" customWidth="1"/>
  </cols>
  <sheetData>
    <row r="2" spans="1:7" x14ac:dyDescent="0.3">
      <c r="C2" t="s">
        <v>20</v>
      </c>
      <c r="D2" s="5" t="s">
        <v>579</v>
      </c>
    </row>
    <row r="3" spans="1:7" x14ac:dyDescent="0.3">
      <c r="A3" s="1"/>
      <c r="B3" s="2" t="s">
        <v>0</v>
      </c>
      <c r="C3" s="1"/>
      <c r="E3" s="1"/>
      <c r="F3" s="1"/>
    </row>
    <row r="4" spans="1:7" x14ac:dyDescent="0.3">
      <c r="A4" s="1"/>
      <c r="B4" s="1"/>
      <c r="C4" s="1" t="s">
        <v>1</v>
      </c>
      <c r="D4" s="1" t="s">
        <v>2</v>
      </c>
      <c r="E4" s="1" t="s">
        <v>3</v>
      </c>
      <c r="F4" s="1" t="s">
        <v>4</v>
      </c>
      <c r="G4" s="10" t="s">
        <v>21</v>
      </c>
    </row>
    <row r="5" spans="1:7" x14ac:dyDescent="0.3">
      <c r="A5" s="1" t="s">
        <v>5</v>
      </c>
      <c r="B5" s="1" t="s">
        <v>6</v>
      </c>
      <c r="C5" s="14">
        <v>0</v>
      </c>
      <c r="D5" s="14">
        <v>0</v>
      </c>
      <c r="E5" s="14">
        <v>0</v>
      </c>
      <c r="F5" s="14">
        <v>0</v>
      </c>
      <c r="G5" s="11">
        <f>SUM(C5:F5)</f>
        <v>0</v>
      </c>
    </row>
    <row r="6" spans="1:7" x14ac:dyDescent="0.3">
      <c r="A6" s="1"/>
      <c r="B6" s="1" t="s">
        <v>8</v>
      </c>
      <c r="C6" s="14">
        <v>0</v>
      </c>
      <c r="D6" s="14">
        <v>0</v>
      </c>
      <c r="E6" s="14">
        <v>0</v>
      </c>
      <c r="F6" s="14">
        <v>0</v>
      </c>
      <c r="G6" s="11">
        <f t="shared" ref="G6:G16" si="0">SUM(C6:F6)</f>
        <v>0</v>
      </c>
    </row>
    <row r="7" spans="1:7" x14ac:dyDescent="0.3">
      <c r="A7" s="1"/>
      <c r="B7" s="1" t="s">
        <v>9</v>
      </c>
      <c r="C7" s="14">
        <v>0</v>
      </c>
      <c r="D7" s="14">
        <v>0</v>
      </c>
      <c r="E7" s="14">
        <v>0</v>
      </c>
      <c r="F7" s="14">
        <v>17500</v>
      </c>
      <c r="G7" s="11">
        <f t="shared" si="0"/>
        <v>17500</v>
      </c>
    </row>
    <row r="8" spans="1:7" x14ac:dyDescent="0.3">
      <c r="A8" s="1" t="s">
        <v>10</v>
      </c>
      <c r="B8" s="1" t="s">
        <v>6</v>
      </c>
      <c r="C8" s="14">
        <v>0</v>
      </c>
      <c r="D8" s="14">
        <v>0</v>
      </c>
      <c r="E8" s="14">
        <v>0</v>
      </c>
      <c r="F8" s="14">
        <v>0</v>
      </c>
      <c r="G8" s="11">
        <f t="shared" si="0"/>
        <v>0</v>
      </c>
    </row>
    <row r="9" spans="1:7" x14ac:dyDescent="0.3">
      <c r="A9" s="1"/>
      <c r="B9" s="1" t="s">
        <v>8</v>
      </c>
      <c r="C9" s="14">
        <v>0</v>
      </c>
      <c r="D9" s="14">
        <v>0</v>
      </c>
      <c r="E9" s="14">
        <v>0</v>
      </c>
      <c r="F9" s="14">
        <v>0</v>
      </c>
      <c r="G9" s="11">
        <f t="shared" si="0"/>
        <v>0</v>
      </c>
    </row>
    <row r="10" spans="1:7" x14ac:dyDescent="0.3">
      <c r="A10" s="1"/>
      <c r="B10" s="1" t="s">
        <v>9</v>
      </c>
      <c r="C10" s="14">
        <v>0</v>
      </c>
      <c r="D10" s="14">
        <v>0</v>
      </c>
      <c r="E10" s="14">
        <v>0</v>
      </c>
      <c r="F10" s="14">
        <v>0</v>
      </c>
      <c r="G10" s="11">
        <f t="shared" si="0"/>
        <v>0</v>
      </c>
    </row>
    <row r="11" spans="1:7" x14ac:dyDescent="0.3">
      <c r="A11" s="1" t="s">
        <v>12</v>
      </c>
      <c r="B11" s="1" t="s">
        <v>6</v>
      </c>
      <c r="C11" s="14">
        <v>0</v>
      </c>
      <c r="D11" s="14">
        <v>25000</v>
      </c>
      <c r="E11" s="14">
        <v>20000</v>
      </c>
      <c r="F11" s="14">
        <v>32500</v>
      </c>
      <c r="G11" s="11">
        <f t="shared" si="0"/>
        <v>77500</v>
      </c>
    </row>
    <row r="12" spans="1:7" x14ac:dyDescent="0.3">
      <c r="A12" s="1"/>
      <c r="B12" s="1" t="s">
        <v>8</v>
      </c>
      <c r="C12" s="14">
        <v>32500</v>
      </c>
      <c r="D12" s="14">
        <v>0</v>
      </c>
      <c r="E12" s="14">
        <v>20000</v>
      </c>
      <c r="F12" s="14">
        <v>12500</v>
      </c>
      <c r="G12" s="11">
        <f t="shared" si="0"/>
        <v>65000</v>
      </c>
    </row>
    <row r="13" spans="1:7" x14ac:dyDescent="0.3">
      <c r="A13" s="1"/>
      <c r="B13" s="1" t="s">
        <v>9</v>
      </c>
      <c r="C13" s="14">
        <v>32500</v>
      </c>
      <c r="D13" s="14">
        <v>25000</v>
      </c>
      <c r="E13" s="14">
        <v>0</v>
      </c>
      <c r="F13" s="14">
        <v>15000</v>
      </c>
      <c r="G13" s="11">
        <f t="shared" si="0"/>
        <v>72500</v>
      </c>
    </row>
    <row r="14" spans="1:7" x14ac:dyDescent="0.3">
      <c r="A14" s="1" t="s">
        <v>14</v>
      </c>
      <c r="B14" s="1" t="s">
        <v>6</v>
      </c>
      <c r="C14" s="14">
        <v>27500</v>
      </c>
      <c r="D14" s="14">
        <v>0</v>
      </c>
      <c r="E14" s="14">
        <v>0</v>
      </c>
      <c r="F14" s="14">
        <v>0</v>
      </c>
      <c r="G14" s="11">
        <f t="shared" si="0"/>
        <v>27500</v>
      </c>
    </row>
    <row r="15" spans="1:7" x14ac:dyDescent="0.3">
      <c r="A15" s="1"/>
      <c r="B15" s="1" t="s">
        <v>8</v>
      </c>
      <c r="C15" s="14">
        <v>0</v>
      </c>
      <c r="D15" s="14">
        <v>25000</v>
      </c>
      <c r="E15" s="14">
        <v>0</v>
      </c>
      <c r="F15" s="14">
        <v>0</v>
      </c>
      <c r="G15" s="11">
        <f t="shared" si="0"/>
        <v>25000</v>
      </c>
    </row>
    <row r="16" spans="1:7" x14ac:dyDescent="0.3">
      <c r="A16" s="1"/>
      <c r="B16" s="1" t="s">
        <v>9</v>
      </c>
      <c r="C16" s="14">
        <v>0</v>
      </c>
      <c r="D16" s="14">
        <v>0</v>
      </c>
      <c r="E16" s="14">
        <v>20000</v>
      </c>
      <c r="F16" s="14">
        <v>0</v>
      </c>
      <c r="G16" s="11">
        <f t="shared" si="0"/>
        <v>20000</v>
      </c>
    </row>
    <row r="17" spans="1:16" x14ac:dyDescent="0.3">
      <c r="B17" s="1"/>
      <c r="C17" s="4"/>
      <c r="D17" s="4"/>
      <c r="E17" s="4"/>
      <c r="F17" s="4"/>
      <c r="G17" s="9"/>
    </row>
    <row r="18" spans="1:16" x14ac:dyDescent="0.3">
      <c r="B18" s="1"/>
      <c r="C18" s="4"/>
      <c r="D18" s="4"/>
      <c r="E18" s="4"/>
      <c r="F18" s="4"/>
    </row>
    <row r="19" spans="1:16" x14ac:dyDescent="0.3">
      <c r="B19" s="1"/>
      <c r="C19" s="4"/>
      <c r="D19" s="4"/>
      <c r="E19" s="4"/>
      <c r="F19" s="4"/>
    </row>
    <row r="20" spans="1:16" x14ac:dyDescent="0.3">
      <c r="A20" s="1"/>
      <c r="B20" s="2" t="s">
        <v>0</v>
      </c>
      <c r="C20" s="1"/>
      <c r="D20" s="1"/>
      <c r="E20" s="1"/>
      <c r="F20" s="1"/>
      <c r="K20" s="1"/>
      <c r="L20" s="1"/>
      <c r="M20" s="3"/>
      <c r="N20" s="3"/>
      <c r="O20" s="3"/>
      <c r="P20" s="3"/>
    </row>
    <row r="21" spans="1:16" x14ac:dyDescent="0.3">
      <c r="A21" s="1"/>
      <c r="B21" s="1"/>
      <c r="C21" s="1" t="s">
        <v>1</v>
      </c>
      <c r="D21" s="1" t="s">
        <v>2</v>
      </c>
      <c r="E21" s="1" t="s">
        <v>3</v>
      </c>
      <c r="F21" s="1" t="s">
        <v>4</v>
      </c>
      <c r="K21" s="1"/>
      <c r="L21" s="1"/>
      <c r="M21" s="3"/>
      <c r="N21" s="3"/>
      <c r="O21" s="3"/>
      <c r="P21" s="3"/>
    </row>
    <row r="22" spans="1:16" x14ac:dyDescent="0.3">
      <c r="A22" s="1" t="s">
        <v>5</v>
      </c>
      <c r="B22" s="1" t="s">
        <v>6</v>
      </c>
      <c r="C22" s="3">
        <v>1.3</v>
      </c>
      <c r="D22" s="3">
        <v>1.2</v>
      </c>
      <c r="E22" s="3">
        <v>0.75</v>
      </c>
      <c r="F22" s="3">
        <v>0.5</v>
      </c>
      <c r="K22" s="1"/>
      <c r="L22" s="1"/>
      <c r="M22" s="3"/>
      <c r="N22" s="3"/>
      <c r="O22" s="3"/>
      <c r="P22" s="3"/>
    </row>
    <row r="23" spans="1:16" x14ac:dyDescent="0.3">
      <c r="A23" s="1"/>
      <c r="B23" s="1" t="s">
        <v>8</v>
      </c>
      <c r="C23" s="3">
        <v>2</v>
      </c>
      <c r="D23" s="3">
        <v>2.2000000000000002</v>
      </c>
      <c r="E23" s="3">
        <v>2.5</v>
      </c>
      <c r="F23" s="3">
        <v>3</v>
      </c>
      <c r="K23" s="1"/>
      <c r="L23" s="1"/>
      <c r="M23" s="3"/>
      <c r="N23" s="3"/>
      <c r="O23" s="3"/>
      <c r="P23" s="3"/>
    </row>
    <row r="24" spans="1:16" x14ac:dyDescent="0.3">
      <c r="A24" s="1"/>
      <c r="B24" s="1" t="s">
        <v>9</v>
      </c>
      <c r="C24" s="3">
        <v>0.8</v>
      </c>
      <c r="D24" s="3">
        <v>1.2</v>
      </c>
      <c r="E24" s="3">
        <v>0.5</v>
      </c>
      <c r="F24" s="3">
        <v>0.5</v>
      </c>
      <c r="K24" s="1"/>
      <c r="L24" s="1"/>
      <c r="M24" s="3"/>
      <c r="N24" s="3"/>
      <c r="O24" s="3"/>
      <c r="P24" s="3"/>
    </row>
    <row r="25" spans="1:16" x14ac:dyDescent="0.3">
      <c r="A25" s="1"/>
      <c r="B25" s="1"/>
      <c r="C25" s="1"/>
      <c r="D25" s="1"/>
      <c r="E25" s="1"/>
      <c r="F25" s="1"/>
      <c r="K25" s="1"/>
      <c r="L25" s="1"/>
      <c r="M25" s="3"/>
      <c r="N25" s="3"/>
      <c r="O25" s="3"/>
      <c r="P25" s="3"/>
    </row>
    <row r="26" spans="1:16" x14ac:dyDescent="0.3">
      <c r="A26" s="1" t="s">
        <v>10</v>
      </c>
      <c r="B26" s="1" t="s">
        <v>6</v>
      </c>
      <c r="C26" s="3">
        <v>1.5</v>
      </c>
      <c r="D26" s="3">
        <v>1.55</v>
      </c>
      <c r="E26" s="3">
        <v>2</v>
      </c>
      <c r="F26" s="3">
        <v>3</v>
      </c>
      <c r="K26" s="1"/>
      <c r="L26" s="1"/>
      <c r="M26" s="3"/>
      <c r="N26" s="3"/>
      <c r="O26" s="3"/>
      <c r="P26" s="3"/>
    </row>
    <row r="27" spans="1:16" x14ac:dyDescent="0.3">
      <c r="A27" s="1"/>
      <c r="B27" s="1" t="s">
        <v>8</v>
      </c>
      <c r="C27" s="3">
        <v>2.4</v>
      </c>
      <c r="D27" s="3">
        <v>2.6</v>
      </c>
      <c r="E27" s="3">
        <v>2</v>
      </c>
      <c r="F27" s="3">
        <v>1.75</v>
      </c>
      <c r="K27" s="1"/>
      <c r="L27" s="1"/>
      <c r="M27" s="3"/>
      <c r="N27" s="3"/>
      <c r="O27" s="3"/>
      <c r="P27" s="3"/>
    </row>
    <row r="28" spans="1:16" x14ac:dyDescent="0.3">
      <c r="A28" s="1"/>
      <c r="B28" s="1" t="s">
        <v>9</v>
      </c>
      <c r="C28" s="3">
        <v>3</v>
      </c>
      <c r="D28" s="3">
        <v>3.5</v>
      </c>
      <c r="E28" s="3">
        <v>2</v>
      </c>
      <c r="F28" s="3">
        <v>2.8</v>
      </c>
      <c r="K28" s="1"/>
      <c r="L28" s="1"/>
      <c r="M28" s="3"/>
      <c r="N28" s="3"/>
      <c r="O28" s="3"/>
      <c r="P28" s="3"/>
    </row>
    <row r="29" spans="1:16" x14ac:dyDescent="0.3">
      <c r="A29" s="1"/>
      <c r="B29" s="1"/>
      <c r="C29" s="1"/>
      <c r="D29" s="1"/>
      <c r="E29" s="1"/>
      <c r="F29" s="1"/>
      <c r="K29" s="1"/>
      <c r="L29" s="1"/>
      <c r="M29" s="3"/>
      <c r="N29" s="3"/>
      <c r="O29" s="3"/>
      <c r="P29" s="3"/>
    </row>
    <row r="30" spans="1:16" x14ac:dyDescent="0.3">
      <c r="A30" s="1" t="s">
        <v>12</v>
      </c>
      <c r="B30" s="1" t="s">
        <v>6</v>
      </c>
      <c r="C30" s="3">
        <v>0.95</v>
      </c>
      <c r="D30" s="3">
        <v>0.75</v>
      </c>
      <c r="E30" s="3">
        <v>0.5</v>
      </c>
      <c r="F30" s="3">
        <v>0.5</v>
      </c>
      <c r="K30" s="1"/>
      <c r="L30" s="1"/>
      <c r="M30" s="3"/>
      <c r="N30" s="3"/>
      <c r="O30" s="3"/>
      <c r="P30" s="3"/>
    </row>
    <row r="31" spans="1:16" x14ac:dyDescent="0.3">
      <c r="A31" s="1"/>
      <c r="B31" s="1" t="s">
        <v>8</v>
      </c>
      <c r="C31" s="3">
        <v>0.5</v>
      </c>
      <c r="D31" s="3">
        <v>0.5</v>
      </c>
      <c r="E31" s="3">
        <v>0.5</v>
      </c>
      <c r="F31" s="3">
        <v>0.5</v>
      </c>
      <c r="K31" s="1"/>
      <c r="L31" s="1"/>
      <c r="M31" s="3"/>
      <c r="N31" s="3"/>
      <c r="O31" s="3"/>
      <c r="P31" s="3"/>
    </row>
    <row r="32" spans="1:16" x14ac:dyDescent="0.3">
      <c r="A32" s="1"/>
      <c r="B32" s="1" t="s">
        <v>9</v>
      </c>
      <c r="C32" s="3">
        <v>0.7</v>
      </c>
      <c r="D32" s="3">
        <v>0.7</v>
      </c>
      <c r="E32" s="3">
        <v>0.7</v>
      </c>
      <c r="F32" s="3">
        <v>0.7</v>
      </c>
      <c r="K32" s="1"/>
      <c r="L32" s="1"/>
      <c r="M32" s="3"/>
      <c r="N32" s="3"/>
      <c r="O32" s="3"/>
      <c r="P32" s="3"/>
    </row>
    <row r="33" spans="1:16" x14ac:dyDescent="0.3">
      <c r="A33" s="1"/>
      <c r="B33" s="1"/>
      <c r="C33" s="3"/>
      <c r="D33" s="3"/>
      <c r="E33" s="3"/>
      <c r="F33" s="3"/>
      <c r="K33" s="1"/>
      <c r="L33" s="1"/>
      <c r="M33" s="3"/>
      <c r="N33" s="3"/>
      <c r="O33" s="3"/>
      <c r="P33" s="3"/>
    </row>
    <row r="34" spans="1:16" x14ac:dyDescent="0.3">
      <c r="A34" s="1" t="s">
        <v>14</v>
      </c>
      <c r="B34" s="1" t="s">
        <v>6</v>
      </c>
      <c r="C34" s="3">
        <v>0.8</v>
      </c>
      <c r="D34" s="3">
        <v>1.1000000000000001</v>
      </c>
      <c r="E34" s="3">
        <v>0.75</v>
      </c>
      <c r="F34" s="3">
        <v>0.85</v>
      </c>
      <c r="K34" s="1"/>
      <c r="L34" s="1"/>
      <c r="M34" s="3"/>
      <c r="N34" s="3"/>
      <c r="O34" s="3"/>
      <c r="P34" s="3"/>
    </row>
    <row r="35" spans="1:16" x14ac:dyDescent="0.3">
      <c r="A35" s="1"/>
      <c r="B35" s="1" t="s">
        <v>8</v>
      </c>
      <c r="C35" s="3">
        <v>0.68</v>
      </c>
      <c r="D35" s="3">
        <v>0.45</v>
      </c>
      <c r="E35" s="3">
        <v>0.8</v>
      </c>
      <c r="F35" s="3">
        <v>0.55000000000000004</v>
      </c>
      <c r="K35" s="1"/>
      <c r="L35" s="1"/>
      <c r="M35" s="3"/>
      <c r="N35" s="3"/>
      <c r="O35" s="3"/>
      <c r="P35" s="3"/>
    </row>
    <row r="36" spans="1:16" x14ac:dyDescent="0.3">
      <c r="A36" s="1"/>
      <c r="B36" s="1" t="s">
        <v>9</v>
      </c>
      <c r="C36" s="3">
        <v>1.5</v>
      </c>
      <c r="D36" s="3">
        <v>0.9</v>
      </c>
      <c r="E36" s="3">
        <v>0.65</v>
      </c>
      <c r="F36" s="3">
        <v>1.25</v>
      </c>
      <c r="K36" s="1"/>
      <c r="L36" s="1"/>
      <c r="M36" s="3"/>
      <c r="N36" s="3"/>
      <c r="O36" s="3"/>
      <c r="P36" s="3"/>
    </row>
    <row r="37" spans="1:16" x14ac:dyDescent="0.3">
      <c r="B37" s="1"/>
      <c r="C37" s="4"/>
      <c r="D37" s="4"/>
      <c r="E37" s="4"/>
      <c r="F37" s="4"/>
      <c r="K37" s="1"/>
      <c r="L37" s="1"/>
      <c r="M37" s="3"/>
      <c r="N37" s="3"/>
      <c r="O37" s="3"/>
      <c r="P37" s="3"/>
    </row>
    <row r="38" spans="1:16" x14ac:dyDescent="0.3">
      <c r="B38" s="1"/>
      <c r="C38" s="4"/>
      <c r="D38" s="4"/>
      <c r="E38" s="4"/>
      <c r="F38" s="4"/>
      <c r="K38" s="1"/>
      <c r="L38" s="1"/>
      <c r="M38" s="3"/>
      <c r="N38" s="3"/>
      <c r="O38" s="3"/>
      <c r="P38" s="3"/>
    </row>
    <row r="39" spans="1:16" x14ac:dyDescent="0.3">
      <c r="B39" s="1"/>
      <c r="C39" s="4"/>
      <c r="D39" s="4"/>
      <c r="E39" s="4"/>
      <c r="F39" s="4"/>
      <c r="K39" s="1"/>
      <c r="L39" s="1"/>
      <c r="M39" s="3"/>
      <c r="N39" s="3"/>
      <c r="O39" s="3"/>
      <c r="P39" s="3"/>
    </row>
    <row r="40" spans="1:16" x14ac:dyDescent="0.3">
      <c r="B40" s="1"/>
      <c r="C40" s="4"/>
      <c r="D40" s="4"/>
      <c r="E40" s="4"/>
      <c r="F40" s="4"/>
      <c r="K40" s="1"/>
      <c r="L40" s="1"/>
      <c r="M40" s="3"/>
      <c r="N40" s="3"/>
      <c r="O40" s="3"/>
      <c r="P40" s="3"/>
    </row>
    <row r="42" spans="1:16" ht="43.2" x14ac:dyDescent="0.3">
      <c r="E42" s="40" t="s">
        <v>578</v>
      </c>
      <c r="F42" s="8">
        <f>SUMPRODUCT(C5:F7,C22:F24)+SUMPRODUCT(C8:F10,C26:F28)+SUMPRODUCT(C11:F13,C30:F32)+SUMPRODUCT(C14:F16,C34:F36)</f>
        <v>183250</v>
      </c>
    </row>
    <row r="43" spans="1:16" x14ac:dyDescent="0.3">
      <c r="E43" s="13"/>
      <c r="G43" s="6"/>
    </row>
    <row r="44" spans="1:16" ht="29.4" x14ac:dyDescent="0.35">
      <c r="C44" t="s">
        <v>20</v>
      </c>
      <c r="D44" s="7" t="s">
        <v>580</v>
      </c>
      <c r="M44" s="43" t="s">
        <v>586</v>
      </c>
      <c r="N44" s="13"/>
    </row>
    <row r="45" spans="1:16" x14ac:dyDescent="0.3">
      <c r="A45" s="1"/>
      <c r="B45" s="2" t="s">
        <v>17</v>
      </c>
      <c r="C45" s="1"/>
      <c r="D45" s="1"/>
      <c r="E45" s="1"/>
      <c r="F45" s="1"/>
      <c r="G45" s="1"/>
      <c r="H45" s="1"/>
    </row>
    <row r="46" spans="1:16" ht="40.200000000000003" x14ac:dyDescent="0.3">
      <c r="A46" s="1"/>
      <c r="B46" s="1"/>
      <c r="C46" s="1" t="s">
        <v>7</v>
      </c>
      <c r="D46" s="1" t="s">
        <v>11</v>
      </c>
      <c r="E46" s="1" t="s">
        <v>13</v>
      </c>
      <c r="F46" s="1" t="s">
        <v>15</v>
      </c>
      <c r="G46" s="1" t="s">
        <v>16</v>
      </c>
      <c r="H46" s="1" t="s">
        <v>18</v>
      </c>
      <c r="I46" s="17" t="s">
        <v>21</v>
      </c>
      <c r="J46" s="15"/>
      <c r="L46" s="12" t="s">
        <v>24</v>
      </c>
      <c r="M46" t="s">
        <v>25</v>
      </c>
      <c r="N46" s="13" t="s">
        <v>26</v>
      </c>
    </row>
    <row r="47" spans="1:16" x14ac:dyDescent="0.3">
      <c r="A47" s="1" t="s">
        <v>5</v>
      </c>
      <c r="B47" s="1" t="s">
        <v>6</v>
      </c>
      <c r="C47" s="14">
        <v>0</v>
      </c>
      <c r="D47" s="14">
        <v>0</v>
      </c>
      <c r="E47" s="14">
        <v>0</v>
      </c>
      <c r="F47" s="14">
        <v>32500</v>
      </c>
      <c r="G47" s="14">
        <v>0</v>
      </c>
      <c r="H47" s="14">
        <v>15000</v>
      </c>
      <c r="I47" s="18">
        <f t="shared" ref="I47:I56" si="1">SUM(C47:H47)</f>
        <v>47500</v>
      </c>
      <c r="J47" s="16"/>
      <c r="L47">
        <f>SUM(I47,G5)</f>
        <v>47500</v>
      </c>
      <c r="M47" t="s">
        <v>25</v>
      </c>
      <c r="N47" s="1">
        <v>50000</v>
      </c>
    </row>
    <row r="48" spans="1:16" x14ac:dyDescent="0.3">
      <c r="A48" s="1"/>
      <c r="B48" s="1" t="s">
        <v>8</v>
      </c>
      <c r="C48" s="14">
        <v>0</v>
      </c>
      <c r="D48" s="14">
        <v>0</v>
      </c>
      <c r="E48" s="14">
        <v>12500</v>
      </c>
      <c r="F48" s="14">
        <v>7500</v>
      </c>
      <c r="G48" s="14">
        <v>27500</v>
      </c>
      <c r="H48" s="14">
        <v>0</v>
      </c>
      <c r="I48" s="18">
        <f t="shared" si="1"/>
        <v>47500</v>
      </c>
      <c r="J48" s="16"/>
      <c r="L48">
        <f>SUM(I48,G6)</f>
        <v>47500</v>
      </c>
      <c r="M48" t="s">
        <v>25</v>
      </c>
      <c r="N48" s="1">
        <v>47500</v>
      </c>
    </row>
    <row r="49" spans="1:14" x14ac:dyDescent="0.3">
      <c r="A49" s="1"/>
      <c r="B49" s="1" t="s">
        <v>9</v>
      </c>
      <c r="C49" s="14">
        <v>0</v>
      </c>
      <c r="D49" s="14">
        <v>0</v>
      </c>
      <c r="E49" s="14">
        <v>0</v>
      </c>
      <c r="F49" s="14">
        <v>0</v>
      </c>
      <c r="G49" s="14">
        <v>30000</v>
      </c>
      <c r="H49" s="14">
        <v>0</v>
      </c>
      <c r="I49" s="18">
        <f t="shared" si="1"/>
        <v>30000</v>
      </c>
      <c r="J49" s="16"/>
      <c r="L49">
        <f t="shared" ref="L49:L58" si="2">SUM(I49,G7)</f>
        <v>47500</v>
      </c>
      <c r="M49" t="s">
        <v>25</v>
      </c>
      <c r="N49" s="1">
        <v>47500</v>
      </c>
    </row>
    <row r="50" spans="1:14" x14ac:dyDescent="0.3">
      <c r="A50" s="1" t="s">
        <v>10</v>
      </c>
      <c r="B50" s="1" t="s">
        <v>6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8">
        <f t="shared" si="1"/>
        <v>0</v>
      </c>
      <c r="J50" s="16"/>
      <c r="L50">
        <f t="shared" si="2"/>
        <v>0</v>
      </c>
      <c r="M50" t="s">
        <v>25</v>
      </c>
      <c r="N50" s="1">
        <v>37500</v>
      </c>
    </row>
    <row r="51" spans="1:14" x14ac:dyDescent="0.3">
      <c r="A51" s="1"/>
      <c r="B51" s="1" t="s">
        <v>8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8">
        <f t="shared" si="1"/>
        <v>0</v>
      </c>
      <c r="J51" s="16"/>
      <c r="L51">
        <f t="shared" si="2"/>
        <v>0</v>
      </c>
      <c r="M51" t="s">
        <v>25</v>
      </c>
      <c r="N51" s="1">
        <v>30000</v>
      </c>
    </row>
    <row r="52" spans="1:14" x14ac:dyDescent="0.3">
      <c r="A52" s="1"/>
      <c r="B52" s="1" t="s">
        <v>9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8">
        <f t="shared" si="1"/>
        <v>0</v>
      </c>
      <c r="J52" s="16"/>
      <c r="L52">
        <f t="shared" si="2"/>
        <v>0</v>
      </c>
      <c r="M52" t="s">
        <v>25</v>
      </c>
      <c r="N52" s="1">
        <v>30000</v>
      </c>
    </row>
    <row r="53" spans="1:14" x14ac:dyDescent="0.3">
      <c r="A53" s="1" t="s">
        <v>12</v>
      </c>
      <c r="B53" s="1" t="s">
        <v>6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8">
        <f t="shared" si="1"/>
        <v>0</v>
      </c>
      <c r="J53" s="16"/>
      <c r="L53">
        <f t="shared" si="2"/>
        <v>77500</v>
      </c>
      <c r="M53" t="s">
        <v>25</v>
      </c>
      <c r="N53" s="1">
        <v>100000</v>
      </c>
    </row>
    <row r="54" spans="1:14" x14ac:dyDescent="0.3">
      <c r="A54" s="1"/>
      <c r="B54" s="1" t="s">
        <v>8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8">
        <f t="shared" si="1"/>
        <v>0</v>
      </c>
      <c r="J54" s="16"/>
      <c r="L54">
        <f t="shared" si="2"/>
        <v>65000</v>
      </c>
      <c r="M54" t="s">
        <v>25</v>
      </c>
      <c r="N54" s="1">
        <v>97500</v>
      </c>
    </row>
    <row r="55" spans="1:14" x14ac:dyDescent="0.3">
      <c r="A55" s="1"/>
      <c r="B55" s="1" t="s">
        <v>9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8">
        <f t="shared" si="1"/>
        <v>0</v>
      </c>
      <c r="J55" s="16"/>
      <c r="L55">
        <f t="shared" si="2"/>
        <v>72500</v>
      </c>
      <c r="M55" t="s">
        <v>25</v>
      </c>
      <c r="N55" s="1">
        <v>100000</v>
      </c>
    </row>
    <row r="56" spans="1:14" x14ac:dyDescent="0.3">
      <c r="A56" s="1" t="s">
        <v>14</v>
      </c>
      <c r="B56" s="1" t="s">
        <v>6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8">
        <f t="shared" si="1"/>
        <v>0</v>
      </c>
      <c r="J56" s="16"/>
      <c r="L56">
        <f t="shared" si="2"/>
        <v>27500</v>
      </c>
      <c r="M56" t="s">
        <v>25</v>
      </c>
      <c r="N56" s="1">
        <v>45000</v>
      </c>
    </row>
    <row r="57" spans="1:14" x14ac:dyDescent="0.3">
      <c r="A57" s="1"/>
      <c r="B57" s="1" t="s">
        <v>8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8">
        <f>SUM(C57:H57)</f>
        <v>0</v>
      </c>
      <c r="J57" s="16"/>
      <c r="L57">
        <f t="shared" si="2"/>
        <v>25000</v>
      </c>
      <c r="M57" t="s">
        <v>25</v>
      </c>
      <c r="N57" s="1">
        <v>40000</v>
      </c>
    </row>
    <row r="58" spans="1:14" x14ac:dyDescent="0.3">
      <c r="A58" s="1"/>
      <c r="B58" s="1" t="s">
        <v>9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25000</v>
      </c>
      <c r="I58" s="18">
        <f>SUM(C58:H58)</f>
        <v>25000</v>
      </c>
      <c r="J58" s="16"/>
      <c r="L58">
        <f t="shared" si="2"/>
        <v>45000</v>
      </c>
      <c r="M58" t="s">
        <v>25</v>
      </c>
      <c r="N58" s="1">
        <v>55000</v>
      </c>
    </row>
    <row r="62" spans="1:14" ht="28.8" x14ac:dyDescent="0.3">
      <c r="G62" s="40" t="s">
        <v>581</v>
      </c>
      <c r="H62" s="8">
        <f>SUMPRODUCT(C47:H49,C65:H67)+SUMPRODUCT(C50:H52,C69:H71)+SUMPRODUCT(C53:H55,C73:H75)+SUMPRODUCT(C56:H58,C77:H79)</f>
        <v>610750</v>
      </c>
    </row>
    <row r="63" spans="1:14" x14ac:dyDescent="0.3">
      <c r="A63" s="1"/>
      <c r="B63" s="2" t="s">
        <v>17</v>
      </c>
      <c r="C63" s="1"/>
      <c r="D63" s="1"/>
      <c r="E63" s="1"/>
      <c r="F63" s="1"/>
      <c r="G63" s="1"/>
      <c r="H63" s="1"/>
    </row>
    <row r="64" spans="1:14" x14ac:dyDescent="0.3">
      <c r="A64" s="1"/>
      <c r="B64" s="1"/>
      <c r="C64" s="1" t="s">
        <v>7</v>
      </c>
      <c r="D64" s="1" t="s">
        <v>11</v>
      </c>
      <c r="E64" s="1" t="s">
        <v>13</v>
      </c>
      <c r="F64" s="1" t="s">
        <v>15</v>
      </c>
      <c r="G64" s="1" t="s">
        <v>16</v>
      </c>
      <c r="H64" s="1" t="s">
        <v>18</v>
      </c>
      <c r="I64" s="1"/>
      <c r="J64" s="1"/>
    </row>
    <row r="65" spans="1:8" x14ac:dyDescent="0.3">
      <c r="A65" s="1" t="s">
        <v>5</v>
      </c>
      <c r="B65" s="1" t="s">
        <v>6</v>
      </c>
      <c r="C65" s="3">
        <v>3.5</v>
      </c>
      <c r="D65" s="3">
        <v>4</v>
      </c>
      <c r="E65" s="3">
        <v>5</v>
      </c>
      <c r="F65" s="3">
        <v>3.75</v>
      </c>
      <c r="G65" s="3">
        <v>4</v>
      </c>
      <c r="H65" s="3">
        <v>4.5</v>
      </c>
    </row>
    <row r="66" spans="1:8" x14ac:dyDescent="0.3">
      <c r="A66" s="1"/>
      <c r="B66" s="1" t="s">
        <v>8</v>
      </c>
      <c r="C66" s="3">
        <v>4.5</v>
      </c>
      <c r="D66" s="3">
        <v>5</v>
      </c>
      <c r="E66" s="3">
        <v>3.75</v>
      </c>
      <c r="F66" s="3">
        <v>4</v>
      </c>
      <c r="G66" s="3">
        <v>3.8</v>
      </c>
      <c r="H66" s="3">
        <v>4.8</v>
      </c>
    </row>
    <row r="67" spans="1:8" x14ac:dyDescent="0.3">
      <c r="A67" s="1"/>
      <c r="B67" s="1" t="s">
        <v>9</v>
      </c>
      <c r="C67" s="3">
        <v>5</v>
      </c>
      <c r="D67" s="3">
        <v>5.5</v>
      </c>
      <c r="E67" s="3">
        <v>3.75</v>
      </c>
      <c r="F67" s="3">
        <v>4.25</v>
      </c>
      <c r="G67" s="3">
        <v>4</v>
      </c>
      <c r="H67" s="3">
        <v>6</v>
      </c>
    </row>
    <row r="68" spans="1:8" x14ac:dyDescent="0.3">
      <c r="A68" s="1"/>
      <c r="B68" s="1"/>
      <c r="C68" s="3"/>
      <c r="D68" s="3"/>
      <c r="E68" s="3"/>
      <c r="F68" s="3"/>
      <c r="G68" s="3"/>
      <c r="H68" s="3"/>
    </row>
    <row r="69" spans="1:8" x14ac:dyDescent="0.3">
      <c r="A69" s="1" t="s">
        <v>10</v>
      </c>
      <c r="B69" s="1" t="s">
        <v>6</v>
      </c>
      <c r="C69" s="3">
        <v>5</v>
      </c>
      <c r="D69" s="3">
        <v>5.5</v>
      </c>
      <c r="E69" s="3">
        <v>6</v>
      </c>
      <c r="F69" s="3">
        <v>4.75</v>
      </c>
      <c r="G69" s="3">
        <v>3.75</v>
      </c>
      <c r="H69" s="3">
        <v>5.85</v>
      </c>
    </row>
    <row r="70" spans="1:8" x14ac:dyDescent="0.3">
      <c r="A70" s="1"/>
      <c r="B70" s="1" t="s">
        <v>8</v>
      </c>
      <c r="C70" s="3">
        <v>6</v>
      </c>
      <c r="D70" s="3">
        <v>7</v>
      </c>
      <c r="E70" s="3">
        <v>6</v>
      </c>
      <c r="F70" s="3">
        <v>5.75</v>
      </c>
      <c r="G70" s="3">
        <v>5.75</v>
      </c>
      <c r="H70" s="3">
        <v>6.5</v>
      </c>
    </row>
    <row r="71" spans="1:8" x14ac:dyDescent="0.3">
      <c r="A71" s="1"/>
      <c r="B71" s="1" t="s">
        <v>9</v>
      </c>
      <c r="C71" s="3">
        <v>5.8</v>
      </c>
      <c r="D71" s="3">
        <v>6</v>
      </c>
      <c r="E71" s="3">
        <v>5.8</v>
      </c>
      <c r="F71" s="3">
        <v>6.5</v>
      </c>
      <c r="G71" s="3">
        <v>5</v>
      </c>
      <c r="H71" s="3">
        <v>6.25</v>
      </c>
    </row>
    <row r="72" spans="1:8" x14ac:dyDescent="0.3">
      <c r="A72" s="1"/>
      <c r="B72" s="1"/>
      <c r="C72" s="3"/>
      <c r="D72" s="3"/>
      <c r="E72" s="3"/>
      <c r="F72" s="3"/>
      <c r="G72" s="3"/>
      <c r="H72" s="3"/>
    </row>
    <row r="73" spans="1:8" x14ac:dyDescent="0.3">
      <c r="A73" s="1" t="s">
        <v>12</v>
      </c>
      <c r="B73" s="1" t="s">
        <v>6</v>
      </c>
      <c r="C73" s="3">
        <v>6.5</v>
      </c>
      <c r="D73" s="3">
        <v>8</v>
      </c>
      <c r="E73" s="3">
        <v>5.3</v>
      </c>
      <c r="F73" s="3">
        <v>5</v>
      </c>
      <c r="G73" s="3">
        <v>6.2</v>
      </c>
      <c r="H73" s="3">
        <v>7.2</v>
      </c>
    </row>
    <row r="74" spans="1:8" x14ac:dyDescent="0.3">
      <c r="A74" s="1"/>
      <c r="B74" s="1" t="s">
        <v>8</v>
      </c>
      <c r="C74" s="3">
        <v>5.5</v>
      </c>
      <c r="D74" s="3">
        <v>5.5</v>
      </c>
      <c r="E74" s="3">
        <v>5.5</v>
      </c>
      <c r="F74" s="3">
        <v>5.5</v>
      </c>
      <c r="G74" s="3">
        <v>5.5</v>
      </c>
      <c r="H74" s="3">
        <v>5</v>
      </c>
    </row>
    <row r="75" spans="1:8" x14ac:dyDescent="0.3">
      <c r="A75" s="1"/>
      <c r="B75" s="1" t="s">
        <v>9</v>
      </c>
      <c r="C75" s="3">
        <v>6</v>
      </c>
      <c r="D75" s="3">
        <v>6</v>
      </c>
      <c r="E75" s="3">
        <v>6</v>
      </c>
      <c r="F75" s="3">
        <v>6</v>
      </c>
      <c r="G75" s="3">
        <v>6</v>
      </c>
      <c r="H75" s="3">
        <v>5.5</v>
      </c>
    </row>
    <row r="76" spans="1:8" x14ac:dyDescent="0.3">
      <c r="A76" s="1"/>
      <c r="B76" s="1"/>
      <c r="C76" s="3"/>
      <c r="D76" s="3"/>
      <c r="E76" s="3"/>
      <c r="F76" s="3"/>
      <c r="G76" s="3"/>
      <c r="H76" s="3"/>
    </row>
    <row r="77" spans="1:8" x14ac:dyDescent="0.3">
      <c r="A77" s="1" t="s">
        <v>14</v>
      </c>
      <c r="B77" s="1" t="s">
        <v>6</v>
      </c>
      <c r="C77" s="3">
        <v>5.25</v>
      </c>
      <c r="D77" s="3">
        <v>6</v>
      </c>
      <c r="E77" s="3">
        <v>4.75</v>
      </c>
      <c r="F77" s="3">
        <v>5.5</v>
      </c>
      <c r="G77" s="3">
        <v>4.5</v>
      </c>
      <c r="H77" s="3">
        <v>5.85</v>
      </c>
    </row>
    <row r="78" spans="1:8" x14ac:dyDescent="0.3">
      <c r="A78" s="1"/>
      <c r="B78" s="1" t="s">
        <v>8</v>
      </c>
      <c r="C78" s="3">
        <v>5</v>
      </c>
      <c r="D78" s="3">
        <v>6.5</v>
      </c>
      <c r="E78" s="3">
        <v>7.5</v>
      </c>
      <c r="F78" s="3">
        <v>6.25</v>
      </c>
      <c r="G78" s="3">
        <v>4.75</v>
      </c>
      <c r="H78" s="3">
        <v>7</v>
      </c>
    </row>
    <row r="79" spans="1:8" x14ac:dyDescent="0.3">
      <c r="A79" s="1"/>
      <c r="B79" s="1" t="s">
        <v>9</v>
      </c>
      <c r="C79" s="3">
        <v>5.4</v>
      </c>
      <c r="D79" s="3">
        <v>6.2</v>
      </c>
      <c r="E79" s="3">
        <v>5.65</v>
      </c>
      <c r="F79" s="3">
        <v>5</v>
      </c>
      <c r="G79" s="3">
        <v>5.5</v>
      </c>
      <c r="H79" s="3">
        <v>4.8</v>
      </c>
    </row>
    <row r="82" spans="1:16" x14ac:dyDescent="0.3">
      <c r="L82" s="42" t="s">
        <v>584</v>
      </c>
      <c r="M82" s="42"/>
      <c r="N82" s="44" t="s">
        <v>585</v>
      </c>
      <c r="O82" s="44"/>
    </row>
    <row r="83" spans="1:16" ht="15" x14ac:dyDescent="0.35">
      <c r="A83" s="1"/>
      <c r="B83" s="2" t="s">
        <v>19</v>
      </c>
      <c r="C83" s="1"/>
      <c r="D83" s="1"/>
      <c r="E83" t="s">
        <v>20</v>
      </c>
      <c r="F83" s="7" t="s">
        <v>582</v>
      </c>
      <c r="G83" s="1"/>
      <c r="H83" s="1"/>
    </row>
    <row r="84" spans="1:16" ht="40.200000000000003" x14ac:dyDescent="0.3">
      <c r="A84" s="1"/>
      <c r="B84" s="1"/>
      <c r="C84" s="1" t="s">
        <v>7</v>
      </c>
      <c r="D84" s="1" t="s">
        <v>11</v>
      </c>
      <c r="E84" s="1" t="s">
        <v>13</v>
      </c>
      <c r="F84" s="1" t="s">
        <v>15</v>
      </c>
      <c r="G84" s="1" t="s">
        <v>16</v>
      </c>
      <c r="H84" s="1" t="s">
        <v>18</v>
      </c>
      <c r="I84" s="1" t="s">
        <v>21</v>
      </c>
      <c r="J84" s="1"/>
      <c r="K84" s="12" t="s">
        <v>27</v>
      </c>
      <c r="L84" s="1" t="s">
        <v>28</v>
      </c>
      <c r="M84" s="1" t="s">
        <v>29</v>
      </c>
      <c r="N84" s="1" t="s">
        <v>25</v>
      </c>
      <c r="O84" s="1" t="s">
        <v>30</v>
      </c>
    </row>
    <row r="85" spans="1:16" x14ac:dyDescent="0.3">
      <c r="A85" s="1" t="s">
        <v>1</v>
      </c>
      <c r="B85" s="1" t="s">
        <v>6</v>
      </c>
      <c r="C85" s="14">
        <v>0</v>
      </c>
      <c r="D85" s="14">
        <v>0</v>
      </c>
      <c r="E85" s="14">
        <v>0</v>
      </c>
      <c r="F85" s="14">
        <v>0</v>
      </c>
      <c r="G85" s="14">
        <v>27500</v>
      </c>
      <c r="H85" s="14">
        <v>0</v>
      </c>
      <c r="I85">
        <f>SUM(C85:H85)</f>
        <v>27500</v>
      </c>
      <c r="K85">
        <f>SUM(C85:H85)</f>
        <v>27500</v>
      </c>
      <c r="L85" s="1" t="s">
        <v>28</v>
      </c>
      <c r="M85">
        <f>SUM(C5,C8,C11,C14)</f>
        <v>27500</v>
      </c>
      <c r="N85" s="1" t="s">
        <v>25</v>
      </c>
      <c r="O85" s="1">
        <v>32500</v>
      </c>
      <c r="P85" t="s">
        <v>31</v>
      </c>
    </row>
    <row r="86" spans="1:16" x14ac:dyDescent="0.3">
      <c r="A86" s="1"/>
      <c r="B86" s="1" t="s">
        <v>8</v>
      </c>
      <c r="C86" s="14">
        <v>7500</v>
      </c>
      <c r="D86" s="14">
        <v>12500</v>
      </c>
      <c r="E86" s="14">
        <v>12500</v>
      </c>
      <c r="F86" s="14">
        <v>0</v>
      </c>
      <c r="G86" s="14">
        <v>0</v>
      </c>
      <c r="H86" s="14">
        <v>0</v>
      </c>
      <c r="I86">
        <f t="shared" ref="I86:I96" si="3">SUM(C86:H86)</f>
        <v>32500</v>
      </c>
      <c r="K86">
        <f t="shared" ref="K86:K96" si="4">SUM(C86:H86)</f>
        <v>32500</v>
      </c>
      <c r="L86" s="1" t="s">
        <v>28</v>
      </c>
      <c r="M86">
        <f>SUM(C6,C9,C12,C15)</f>
        <v>32500</v>
      </c>
      <c r="N86" s="1" t="s">
        <v>25</v>
      </c>
      <c r="O86" s="1">
        <v>32500</v>
      </c>
      <c r="P86" t="s">
        <v>32</v>
      </c>
    </row>
    <row r="87" spans="1:16" x14ac:dyDescent="0.3">
      <c r="A87" s="1"/>
      <c r="B87" s="1" t="s">
        <v>9</v>
      </c>
      <c r="C87" s="14">
        <v>0</v>
      </c>
      <c r="D87" s="14">
        <v>22500</v>
      </c>
      <c r="E87" s="14">
        <v>0</v>
      </c>
      <c r="F87" s="14">
        <v>10000</v>
      </c>
      <c r="G87" s="14">
        <v>0</v>
      </c>
      <c r="H87" s="14">
        <v>0</v>
      </c>
      <c r="I87">
        <f t="shared" si="3"/>
        <v>32500</v>
      </c>
      <c r="K87">
        <f t="shared" si="4"/>
        <v>32500</v>
      </c>
      <c r="L87" s="1" t="s">
        <v>28</v>
      </c>
      <c r="M87">
        <f>SUM(C7,C10,C13,C16)</f>
        <v>32500</v>
      </c>
      <c r="N87" s="1" t="s">
        <v>25</v>
      </c>
      <c r="O87" s="1">
        <v>32500</v>
      </c>
      <c r="P87" t="s">
        <v>33</v>
      </c>
    </row>
    <row r="88" spans="1:16" x14ac:dyDescent="0.3">
      <c r="A88" s="1" t="s">
        <v>2</v>
      </c>
      <c r="B88" s="1" t="s">
        <v>6</v>
      </c>
      <c r="C88" s="14">
        <v>0</v>
      </c>
      <c r="D88" s="14">
        <v>0</v>
      </c>
      <c r="E88" s="14">
        <v>20000</v>
      </c>
      <c r="F88" s="14">
        <v>0</v>
      </c>
      <c r="G88" s="14">
        <v>0</v>
      </c>
      <c r="H88" s="14">
        <v>5000</v>
      </c>
      <c r="I88">
        <f t="shared" si="3"/>
        <v>25000</v>
      </c>
      <c r="K88">
        <f t="shared" si="4"/>
        <v>25000</v>
      </c>
      <c r="L88" s="1" t="s">
        <v>28</v>
      </c>
      <c r="M88">
        <f>SUM(D5,D8,D11,D14)</f>
        <v>25000</v>
      </c>
      <c r="N88" s="1" t="s">
        <v>25</v>
      </c>
      <c r="O88" s="1">
        <v>25000</v>
      </c>
      <c r="P88" t="s">
        <v>34</v>
      </c>
    </row>
    <row r="89" spans="1:16" x14ac:dyDescent="0.3">
      <c r="A89" s="1"/>
      <c r="B89" s="1" t="s">
        <v>8</v>
      </c>
      <c r="C89" s="14">
        <v>0</v>
      </c>
      <c r="D89" s="14">
        <v>0</v>
      </c>
      <c r="E89" s="14">
        <v>0</v>
      </c>
      <c r="F89" s="14">
        <v>25000</v>
      </c>
      <c r="G89" s="14">
        <v>0</v>
      </c>
      <c r="H89" s="14">
        <v>0</v>
      </c>
      <c r="I89">
        <f t="shared" si="3"/>
        <v>25000</v>
      </c>
      <c r="K89">
        <f t="shared" si="4"/>
        <v>25000</v>
      </c>
      <c r="L89" s="1" t="s">
        <v>28</v>
      </c>
      <c r="M89">
        <f>SUM(D6,D9,D12,D15)</f>
        <v>25000</v>
      </c>
      <c r="N89" s="1" t="s">
        <v>25</v>
      </c>
      <c r="O89" s="1">
        <v>25000</v>
      </c>
      <c r="P89" t="s">
        <v>35</v>
      </c>
    </row>
    <row r="90" spans="1:16" x14ac:dyDescent="0.3">
      <c r="A90" s="1"/>
      <c r="B90" s="1" t="s">
        <v>9</v>
      </c>
      <c r="C90" s="14">
        <v>0</v>
      </c>
      <c r="D90" s="14">
        <v>0</v>
      </c>
      <c r="E90" s="14">
        <v>0</v>
      </c>
      <c r="F90" s="14">
        <v>25000</v>
      </c>
      <c r="G90" s="14">
        <v>0</v>
      </c>
      <c r="H90" s="14">
        <v>0</v>
      </c>
      <c r="I90">
        <f t="shared" si="3"/>
        <v>25000</v>
      </c>
      <c r="K90">
        <f t="shared" si="4"/>
        <v>25000</v>
      </c>
      <c r="L90" s="1" t="s">
        <v>28</v>
      </c>
      <c r="M90">
        <f>SUM(D7,D10,D13,D16)</f>
        <v>25000</v>
      </c>
      <c r="N90" s="1" t="s">
        <v>25</v>
      </c>
      <c r="O90" s="1">
        <v>25000</v>
      </c>
      <c r="P90" t="s">
        <v>36</v>
      </c>
    </row>
    <row r="91" spans="1:16" x14ac:dyDescent="0.3">
      <c r="A91" s="1" t="s">
        <v>3</v>
      </c>
      <c r="B91" s="1" t="s">
        <v>6</v>
      </c>
      <c r="C91" s="14">
        <v>10000</v>
      </c>
      <c r="D91" s="14">
        <v>0</v>
      </c>
      <c r="E91" s="14">
        <v>0</v>
      </c>
      <c r="F91" s="14">
        <v>0</v>
      </c>
      <c r="G91" s="14">
        <v>0</v>
      </c>
      <c r="H91" s="14">
        <v>10000</v>
      </c>
      <c r="I91">
        <f t="shared" si="3"/>
        <v>20000</v>
      </c>
      <c r="K91">
        <f t="shared" si="4"/>
        <v>20000</v>
      </c>
      <c r="L91" s="1" t="s">
        <v>28</v>
      </c>
      <c r="M91">
        <f>SUM(E5,E8,E11,E14)</f>
        <v>20000</v>
      </c>
      <c r="N91" s="1" t="s">
        <v>25</v>
      </c>
      <c r="O91" s="1">
        <v>20000</v>
      </c>
      <c r="P91" t="s">
        <v>37</v>
      </c>
    </row>
    <row r="92" spans="1:16" x14ac:dyDescent="0.3">
      <c r="A92" s="1"/>
      <c r="B92" s="1" t="s">
        <v>8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20000</v>
      </c>
      <c r="I92">
        <f t="shared" si="3"/>
        <v>20000</v>
      </c>
      <c r="K92">
        <f t="shared" si="4"/>
        <v>20000</v>
      </c>
      <c r="L92" s="1" t="s">
        <v>28</v>
      </c>
      <c r="M92">
        <f>SUM(E6,E9,E12,E15)</f>
        <v>20000</v>
      </c>
      <c r="N92" s="1" t="s">
        <v>25</v>
      </c>
      <c r="O92" s="1">
        <v>20000</v>
      </c>
      <c r="P92" t="s">
        <v>38</v>
      </c>
    </row>
    <row r="93" spans="1:16" x14ac:dyDescent="0.3">
      <c r="A93" s="1"/>
      <c r="B93" s="1" t="s">
        <v>9</v>
      </c>
      <c r="C93" s="14">
        <v>10000</v>
      </c>
      <c r="D93" s="14">
        <v>0</v>
      </c>
      <c r="E93" s="14">
        <v>10000</v>
      </c>
      <c r="F93" s="14">
        <v>0</v>
      </c>
      <c r="G93" s="14">
        <v>0</v>
      </c>
      <c r="H93" s="14">
        <v>0</v>
      </c>
      <c r="I93">
        <f t="shared" si="3"/>
        <v>20000</v>
      </c>
      <c r="K93">
        <f t="shared" si="4"/>
        <v>20000</v>
      </c>
      <c r="L93" s="1" t="s">
        <v>28</v>
      </c>
      <c r="M93">
        <f>SUM(E7,E10,E13,E16)</f>
        <v>20000</v>
      </c>
      <c r="N93" s="1" t="s">
        <v>25</v>
      </c>
      <c r="O93" s="1">
        <v>20000</v>
      </c>
      <c r="P93" t="s">
        <v>39</v>
      </c>
    </row>
    <row r="94" spans="1:16" x14ac:dyDescent="0.3">
      <c r="A94" s="1" t="s">
        <v>4</v>
      </c>
      <c r="B94" s="1" t="s">
        <v>6</v>
      </c>
      <c r="C94" s="14">
        <v>0</v>
      </c>
      <c r="D94" s="14">
        <v>27500</v>
      </c>
      <c r="E94" s="14">
        <v>5000</v>
      </c>
      <c r="F94" s="14">
        <v>0</v>
      </c>
      <c r="G94" s="14">
        <v>0</v>
      </c>
      <c r="H94" s="14">
        <v>0</v>
      </c>
      <c r="I94">
        <f t="shared" si="3"/>
        <v>32500</v>
      </c>
      <c r="K94">
        <f t="shared" si="4"/>
        <v>32500</v>
      </c>
      <c r="L94" s="1" t="s">
        <v>28</v>
      </c>
      <c r="M94">
        <f>SUM(F5,F8,F11,F14)</f>
        <v>32500</v>
      </c>
      <c r="N94" s="1" t="s">
        <v>25</v>
      </c>
      <c r="O94" s="1">
        <v>32500</v>
      </c>
      <c r="P94" t="s">
        <v>40</v>
      </c>
    </row>
    <row r="95" spans="1:16" x14ac:dyDescent="0.3">
      <c r="A95" s="1"/>
      <c r="B95" s="1" t="s">
        <v>8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12500</v>
      </c>
      <c r="I95">
        <f t="shared" si="3"/>
        <v>12500</v>
      </c>
      <c r="K95">
        <f t="shared" si="4"/>
        <v>12500</v>
      </c>
      <c r="L95" s="1" t="s">
        <v>28</v>
      </c>
      <c r="M95">
        <f>SUM(F6,F9,F12,F15)</f>
        <v>12500</v>
      </c>
      <c r="N95" s="1" t="s">
        <v>25</v>
      </c>
      <c r="O95" s="1">
        <v>32500</v>
      </c>
      <c r="P95" t="s">
        <v>41</v>
      </c>
    </row>
    <row r="96" spans="1:16" x14ac:dyDescent="0.3">
      <c r="A96" s="1"/>
      <c r="B96" s="1" t="s">
        <v>9</v>
      </c>
      <c r="C96" s="14">
        <v>0</v>
      </c>
      <c r="D96" s="14">
        <v>0</v>
      </c>
      <c r="E96" s="14">
        <v>2500</v>
      </c>
      <c r="F96" s="14">
        <v>0</v>
      </c>
      <c r="G96" s="14">
        <v>0</v>
      </c>
      <c r="H96" s="14">
        <v>30000</v>
      </c>
      <c r="I96">
        <f t="shared" si="3"/>
        <v>32500</v>
      </c>
      <c r="K96">
        <f t="shared" si="4"/>
        <v>32500</v>
      </c>
      <c r="L96" s="1" t="s">
        <v>28</v>
      </c>
      <c r="M96">
        <f>SUM(F7,F10,F13,F16)</f>
        <v>32500</v>
      </c>
      <c r="N96" s="1" t="s">
        <v>25</v>
      </c>
      <c r="O96" s="1">
        <v>32500</v>
      </c>
      <c r="P96" t="s">
        <v>42</v>
      </c>
    </row>
    <row r="100" spans="1:8" ht="28.8" x14ac:dyDescent="0.3">
      <c r="G100" s="40" t="s">
        <v>583</v>
      </c>
      <c r="H100" s="8">
        <f>SUMPRODUCT(C85:H87,C104:H106)+SUMPRODUCT(C88:H90,C108:H110)+SUMPRODUCT(C91:H93,C112:H114)+SUMPRODUCT(C94:H96,C116:H118)</f>
        <v>846500</v>
      </c>
    </row>
    <row r="102" spans="1:8" x14ac:dyDescent="0.3">
      <c r="A102" s="1"/>
      <c r="B102" s="2" t="s">
        <v>19</v>
      </c>
      <c r="C102" s="1"/>
      <c r="D102" s="1"/>
      <c r="E102" s="1"/>
      <c r="F102" s="1"/>
      <c r="G102" s="1"/>
      <c r="H102" s="1"/>
    </row>
    <row r="103" spans="1:8" x14ac:dyDescent="0.3">
      <c r="A103" s="1"/>
      <c r="B103" s="1"/>
      <c r="C103" s="1" t="s">
        <v>7</v>
      </c>
      <c r="D103" s="1" t="s">
        <v>11</v>
      </c>
      <c r="E103" s="1" t="s">
        <v>13</v>
      </c>
      <c r="F103" s="1" t="s">
        <v>15</v>
      </c>
      <c r="G103" s="1" t="s">
        <v>16</v>
      </c>
      <c r="H103" s="1" t="s">
        <v>18</v>
      </c>
    </row>
    <row r="104" spans="1:8" x14ac:dyDescent="0.3">
      <c r="A104" s="1" t="s">
        <v>1</v>
      </c>
      <c r="B104" s="1" t="s">
        <v>6</v>
      </c>
      <c r="C104" s="3">
        <v>2.2999999999999998</v>
      </c>
      <c r="D104" s="3">
        <v>3</v>
      </c>
      <c r="E104" s="3">
        <v>4.2</v>
      </c>
      <c r="F104" s="3">
        <v>3</v>
      </c>
      <c r="G104" s="3">
        <v>1.25</v>
      </c>
      <c r="H104" s="3">
        <v>4.5</v>
      </c>
    </row>
    <row r="105" spans="1:8" x14ac:dyDescent="0.3">
      <c r="A105" s="1"/>
      <c r="B105" s="1" t="s">
        <v>8</v>
      </c>
      <c r="C105" s="3">
        <v>2.2000000000000002</v>
      </c>
      <c r="D105" s="3">
        <v>3</v>
      </c>
      <c r="E105" s="3">
        <v>2.5</v>
      </c>
      <c r="F105" s="3">
        <v>2.8</v>
      </c>
      <c r="G105" s="3">
        <v>3</v>
      </c>
      <c r="H105" s="3">
        <v>2.7</v>
      </c>
    </row>
    <row r="106" spans="1:8" x14ac:dyDescent="0.3">
      <c r="A106" s="1"/>
      <c r="B106" s="1" t="s">
        <v>9</v>
      </c>
      <c r="C106" s="3">
        <v>4</v>
      </c>
      <c r="D106" s="3">
        <v>3.2</v>
      </c>
      <c r="E106" s="3">
        <v>5</v>
      </c>
      <c r="F106" s="3">
        <v>3.2</v>
      </c>
      <c r="G106" s="3">
        <v>4</v>
      </c>
      <c r="H106" s="3">
        <v>4.4000000000000004</v>
      </c>
    </row>
    <row r="107" spans="1:8" x14ac:dyDescent="0.3">
      <c r="A107" s="1"/>
      <c r="B107" s="1"/>
      <c r="C107" s="3"/>
      <c r="D107" s="3"/>
      <c r="E107" s="3"/>
      <c r="F107" s="3"/>
      <c r="G107" s="3"/>
      <c r="H107" s="3"/>
    </row>
    <row r="108" spans="1:8" x14ac:dyDescent="0.3">
      <c r="A108" s="1" t="s">
        <v>2</v>
      </c>
      <c r="B108" s="1" t="s">
        <v>6</v>
      </c>
      <c r="C108" s="3">
        <v>2.5</v>
      </c>
      <c r="D108" s="3">
        <v>2.5</v>
      </c>
      <c r="E108" s="3">
        <v>3</v>
      </c>
      <c r="F108" s="3">
        <v>2.8</v>
      </c>
      <c r="G108" s="3">
        <v>3</v>
      </c>
      <c r="H108" s="3">
        <v>3.2</v>
      </c>
    </row>
    <row r="109" spans="1:8" x14ac:dyDescent="0.3">
      <c r="A109" s="1"/>
      <c r="B109" s="1" t="s">
        <v>8</v>
      </c>
      <c r="C109" s="3">
        <v>3.2</v>
      </c>
      <c r="D109" s="3">
        <v>3.5</v>
      </c>
      <c r="E109" s="3">
        <v>3.2</v>
      </c>
      <c r="F109" s="3">
        <v>3.2</v>
      </c>
      <c r="G109" s="3">
        <v>4</v>
      </c>
      <c r="H109" s="3">
        <v>4.9000000000000004</v>
      </c>
    </row>
    <row r="110" spans="1:8" x14ac:dyDescent="0.3">
      <c r="A110" s="1"/>
      <c r="B110" s="1" t="s">
        <v>9</v>
      </c>
      <c r="C110" s="3">
        <v>5</v>
      </c>
      <c r="D110" s="3">
        <v>4</v>
      </c>
      <c r="E110" s="3">
        <v>3.8</v>
      </c>
      <c r="F110" s="3">
        <v>2.1</v>
      </c>
      <c r="G110" s="3">
        <v>1.95</v>
      </c>
      <c r="H110" s="3">
        <v>3.2</v>
      </c>
    </row>
    <row r="111" spans="1:8" x14ac:dyDescent="0.3">
      <c r="A111" s="1"/>
      <c r="B111" s="1"/>
      <c r="C111" s="3"/>
      <c r="D111" s="3"/>
      <c r="E111" s="3"/>
      <c r="F111" s="3"/>
      <c r="G111" s="3"/>
      <c r="H111" s="3"/>
    </row>
    <row r="112" spans="1:8" x14ac:dyDescent="0.3">
      <c r="A112" s="1" t="s">
        <v>3</v>
      </c>
      <c r="B112" s="1" t="s">
        <v>6</v>
      </c>
      <c r="C112" s="3">
        <v>1.25</v>
      </c>
      <c r="D112" s="3">
        <v>2.75</v>
      </c>
      <c r="E112" s="3">
        <v>2.75</v>
      </c>
      <c r="F112" s="3">
        <v>3</v>
      </c>
      <c r="G112" s="3">
        <v>3</v>
      </c>
      <c r="H112" s="3">
        <v>2.9</v>
      </c>
    </row>
    <row r="113" spans="1:14" x14ac:dyDescent="0.3">
      <c r="A113" s="1"/>
      <c r="B113" s="1" t="s">
        <v>8</v>
      </c>
      <c r="C113" s="3">
        <v>3</v>
      </c>
      <c r="D113" s="3">
        <v>3</v>
      </c>
      <c r="E113" s="3">
        <v>2.75</v>
      </c>
      <c r="F113" s="3">
        <v>3</v>
      </c>
      <c r="G113" s="3">
        <v>2.75</v>
      </c>
      <c r="H113" s="3">
        <v>2.6</v>
      </c>
    </row>
    <row r="114" spans="1:14" x14ac:dyDescent="0.3">
      <c r="A114" s="1"/>
      <c r="B114" s="1" t="s">
        <v>9</v>
      </c>
      <c r="C114" s="3">
        <v>3</v>
      </c>
      <c r="D114" s="3">
        <v>3</v>
      </c>
      <c r="E114" s="3">
        <v>3</v>
      </c>
      <c r="F114" s="3">
        <v>3</v>
      </c>
      <c r="G114" s="3">
        <v>2.75</v>
      </c>
      <c r="H114" s="3">
        <v>3.25</v>
      </c>
    </row>
    <row r="115" spans="1:14" x14ac:dyDescent="0.3">
      <c r="A115" s="1"/>
      <c r="B115" s="1"/>
      <c r="C115" s="3"/>
      <c r="D115" s="3"/>
      <c r="E115" s="3"/>
      <c r="F115" s="3"/>
      <c r="G115" s="3"/>
      <c r="H115" s="3"/>
    </row>
    <row r="116" spans="1:14" x14ac:dyDescent="0.3">
      <c r="A116" s="1" t="s">
        <v>4</v>
      </c>
      <c r="B116" s="1" t="s">
        <v>6</v>
      </c>
      <c r="C116" s="3">
        <v>2.8</v>
      </c>
      <c r="D116" s="3">
        <v>2.75</v>
      </c>
      <c r="E116" s="3">
        <v>3.5</v>
      </c>
      <c r="F116" s="3">
        <v>3.5</v>
      </c>
      <c r="G116" s="3">
        <v>5.75</v>
      </c>
      <c r="H116" s="3">
        <v>4</v>
      </c>
    </row>
    <row r="117" spans="1:14" x14ac:dyDescent="0.3">
      <c r="A117" s="1"/>
      <c r="B117" s="1" t="s">
        <v>8</v>
      </c>
      <c r="C117" s="3">
        <v>4</v>
      </c>
      <c r="D117" s="3">
        <v>4</v>
      </c>
      <c r="E117" s="3">
        <v>3.75</v>
      </c>
      <c r="F117" s="3">
        <v>3.75</v>
      </c>
      <c r="G117" s="3">
        <v>3.75</v>
      </c>
      <c r="H117" s="3">
        <v>3.5</v>
      </c>
    </row>
    <row r="118" spans="1:14" x14ac:dyDescent="0.3">
      <c r="A118" s="1"/>
      <c r="B118" s="1" t="s">
        <v>9</v>
      </c>
      <c r="C118" s="3">
        <v>4</v>
      </c>
      <c r="D118" s="3">
        <v>4</v>
      </c>
      <c r="E118" s="3">
        <v>4</v>
      </c>
      <c r="F118" s="3">
        <v>4</v>
      </c>
      <c r="G118" s="3">
        <v>4</v>
      </c>
      <c r="H118" s="3">
        <v>3.8</v>
      </c>
    </row>
    <row r="123" spans="1:14" x14ac:dyDescent="0.3">
      <c r="E123" s="30" t="s">
        <v>43</v>
      </c>
      <c r="F123" s="41">
        <f>SUM(H100,H62,F42)</f>
        <v>1640500</v>
      </c>
    </row>
    <row r="124" spans="1:14" x14ac:dyDescent="0.3">
      <c r="E124" s="30"/>
      <c r="F124" s="30"/>
    </row>
    <row r="125" spans="1:14" x14ac:dyDescent="0.3">
      <c r="I125" s="44" t="s">
        <v>587</v>
      </c>
      <c r="J125" s="44"/>
      <c r="K125" s="44"/>
    </row>
    <row r="127" spans="1:14" x14ac:dyDescent="0.3">
      <c r="G127" s="32" t="s">
        <v>434</v>
      </c>
      <c r="H127" s="32"/>
      <c r="I127" s="32"/>
      <c r="J127" s="32"/>
      <c r="K127" s="32"/>
      <c r="L127" s="32"/>
      <c r="M127" s="32"/>
      <c r="N127" s="32"/>
    </row>
    <row r="128" spans="1:14" ht="28.8" x14ac:dyDescent="0.3">
      <c r="F128" s="13" t="s">
        <v>432</v>
      </c>
      <c r="G128" s="13" t="s">
        <v>433</v>
      </c>
      <c r="H128" s="13" t="s">
        <v>588</v>
      </c>
      <c r="K128" t="s">
        <v>45</v>
      </c>
    </row>
    <row r="129" spans="6:13" x14ac:dyDescent="0.3">
      <c r="F129">
        <f>SUM(C47,C50,C53,C56)</f>
        <v>0</v>
      </c>
      <c r="G129">
        <f>SUM(C85,C88,C91,C94)</f>
        <v>10000</v>
      </c>
      <c r="H129">
        <f>SUM(F129,G129)</f>
        <v>10000</v>
      </c>
      <c r="J129" t="s">
        <v>49</v>
      </c>
      <c r="K129" s="1">
        <v>10000</v>
      </c>
      <c r="M129" t="s">
        <v>50</v>
      </c>
    </row>
    <row r="130" spans="6:13" x14ac:dyDescent="0.3">
      <c r="F130">
        <f>SUM(C48,C51,C54,C57)</f>
        <v>0</v>
      </c>
      <c r="G130">
        <f>SUM(C86,C89,C92,C95)</f>
        <v>7500</v>
      </c>
      <c r="H130">
        <f t="shared" ref="H130:H146" si="5">SUM(F130,G130)</f>
        <v>7500</v>
      </c>
      <c r="J130" t="s">
        <v>49</v>
      </c>
      <c r="K130" s="1">
        <v>7500</v>
      </c>
      <c r="M130" t="s">
        <v>51</v>
      </c>
    </row>
    <row r="131" spans="6:13" x14ac:dyDescent="0.3">
      <c r="F131">
        <f>SUM(C49,C52,C55,C58)</f>
        <v>0</v>
      </c>
      <c r="G131">
        <f>SUM(C87,C90,C93,C96)</f>
        <v>10000</v>
      </c>
      <c r="H131">
        <f t="shared" si="5"/>
        <v>10000</v>
      </c>
      <c r="J131" t="s">
        <v>49</v>
      </c>
      <c r="K131" s="1">
        <v>10000</v>
      </c>
      <c r="M131" t="s">
        <v>52</v>
      </c>
    </row>
    <row r="132" spans="6:13" x14ac:dyDescent="0.3">
      <c r="F132">
        <f>SUM(D47,D50,D53,D56)</f>
        <v>0</v>
      </c>
      <c r="G132">
        <f>SUM(D85,D88,D91,D94)</f>
        <v>27500</v>
      </c>
      <c r="H132">
        <f t="shared" si="5"/>
        <v>27500</v>
      </c>
      <c r="J132" t="s">
        <v>49</v>
      </c>
      <c r="K132" s="1">
        <v>27500</v>
      </c>
      <c r="M132" t="s">
        <v>53</v>
      </c>
    </row>
    <row r="133" spans="6:13" x14ac:dyDescent="0.3">
      <c r="F133">
        <f>SUM(D48,D51,D54,D57)</f>
        <v>0</v>
      </c>
      <c r="G133">
        <f>SUM(D86,D89,D92,D95)</f>
        <v>12500</v>
      </c>
      <c r="H133">
        <f t="shared" si="5"/>
        <v>12500</v>
      </c>
      <c r="J133" t="s">
        <v>49</v>
      </c>
      <c r="K133" s="1">
        <v>12500</v>
      </c>
      <c r="M133" t="s">
        <v>54</v>
      </c>
    </row>
    <row r="134" spans="6:13" x14ac:dyDescent="0.3">
      <c r="F134">
        <f>SUM(D49,D52,D55,D58)</f>
        <v>0</v>
      </c>
      <c r="G134">
        <f>SUM(D87,D90,D93,D96)</f>
        <v>22500</v>
      </c>
      <c r="H134">
        <f t="shared" si="5"/>
        <v>22500</v>
      </c>
      <c r="J134" t="s">
        <v>49</v>
      </c>
      <c r="K134" s="1">
        <v>22500</v>
      </c>
      <c r="M134" t="s">
        <v>55</v>
      </c>
    </row>
    <row r="135" spans="6:13" x14ac:dyDescent="0.3">
      <c r="F135">
        <f>SUM(E47,E50,E53,E56)</f>
        <v>0</v>
      </c>
      <c r="G135">
        <f>SUM(E85,E88,E91,E94)</f>
        <v>25000</v>
      </c>
      <c r="H135">
        <f t="shared" si="5"/>
        <v>25000</v>
      </c>
      <c r="J135" t="s">
        <v>49</v>
      </c>
      <c r="K135" s="1">
        <v>25000</v>
      </c>
      <c r="M135" t="s">
        <v>56</v>
      </c>
    </row>
    <row r="136" spans="6:13" x14ac:dyDescent="0.3">
      <c r="F136">
        <f>SUM(E48,E51,E54,E57)</f>
        <v>12500</v>
      </c>
      <c r="G136">
        <f>SUM(E86,E89,E92,E95)</f>
        <v>12500</v>
      </c>
      <c r="H136">
        <f t="shared" si="5"/>
        <v>25000</v>
      </c>
      <c r="J136" t="s">
        <v>49</v>
      </c>
      <c r="K136" s="1">
        <v>25000</v>
      </c>
      <c r="M136" t="s">
        <v>57</v>
      </c>
    </row>
    <row r="137" spans="6:13" x14ac:dyDescent="0.3">
      <c r="F137">
        <f>SUM(E87,E90,E93,E96)</f>
        <v>12500</v>
      </c>
      <c r="G137">
        <f>SUM(E87,E90,E93,E96)</f>
        <v>12500</v>
      </c>
      <c r="H137">
        <f t="shared" si="5"/>
        <v>25000</v>
      </c>
      <c r="J137" t="s">
        <v>49</v>
      </c>
      <c r="K137" s="1">
        <v>25000</v>
      </c>
      <c r="M137" t="s">
        <v>58</v>
      </c>
    </row>
    <row r="138" spans="6:13" x14ac:dyDescent="0.3">
      <c r="F138">
        <f>SUM(F47,F50,F53,F56)</f>
        <v>32500</v>
      </c>
      <c r="G138">
        <f>SUM(F85,F88,F91,F94)</f>
        <v>0</v>
      </c>
      <c r="H138">
        <f t="shared" si="5"/>
        <v>32500</v>
      </c>
      <c r="J138" t="s">
        <v>49</v>
      </c>
      <c r="K138" s="1">
        <v>32500</v>
      </c>
      <c r="M138" t="s">
        <v>59</v>
      </c>
    </row>
    <row r="139" spans="6:13" x14ac:dyDescent="0.3">
      <c r="F139">
        <f>SUM(F48,F51,F54,F57)</f>
        <v>7500</v>
      </c>
      <c r="G139">
        <f>SUM(F86,F89,F92,F95)</f>
        <v>25000</v>
      </c>
      <c r="H139">
        <f t="shared" si="5"/>
        <v>32500</v>
      </c>
      <c r="J139" t="s">
        <v>49</v>
      </c>
      <c r="K139" s="1">
        <v>32500</v>
      </c>
      <c r="M139" t="s">
        <v>60</v>
      </c>
    </row>
    <row r="140" spans="6:13" x14ac:dyDescent="0.3">
      <c r="F140">
        <f>SUM(F49,F52,F55,F58)</f>
        <v>0</v>
      </c>
      <c r="G140">
        <f>SUM(F87,F90,F93,F96)</f>
        <v>35000</v>
      </c>
      <c r="H140">
        <f t="shared" si="5"/>
        <v>35000</v>
      </c>
      <c r="J140" t="s">
        <v>49</v>
      </c>
      <c r="K140" s="1">
        <v>35000</v>
      </c>
      <c r="M140" t="s">
        <v>61</v>
      </c>
    </row>
    <row r="141" spans="6:13" x14ac:dyDescent="0.3">
      <c r="F141">
        <f>SUM(G47,G50,G53,G56)</f>
        <v>0</v>
      </c>
      <c r="G141">
        <f>SUM(G85,G88,G91,G94)</f>
        <v>27500</v>
      </c>
      <c r="H141">
        <f t="shared" si="5"/>
        <v>27500</v>
      </c>
      <c r="J141" t="s">
        <v>49</v>
      </c>
      <c r="K141" s="1">
        <v>27500</v>
      </c>
      <c r="M141" t="s">
        <v>62</v>
      </c>
    </row>
    <row r="142" spans="6:13" x14ac:dyDescent="0.3">
      <c r="F142">
        <f>SUM(G48,G51,G54,G57)</f>
        <v>27500</v>
      </c>
      <c r="G142">
        <f>SUM(G86,G89,G92,G95)</f>
        <v>0</v>
      </c>
      <c r="H142">
        <f t="shared" si="5"/>
        <v>27500</v>
      </c>
      <c r="J142" t="s">
        <v>49</v>
      </c>
      <c r="K142" s="1">
        <v>27500</v>
      </c>
      <c r="M142" t="s">
        <v>63</v>
      </c>
    </row>
    <row r="143" spans="6:13" x14ac:dyDescent="0.3">
      <c r="F143">
        <f>SUM(G49,G52,G55,G58)</f>
        <v>30000</v>
      </c>
      <c r="G143">
        <f>SUM(G87,G90,G93,G96)</f>
        <v>0</v>
      </c>
      <c r="H143">
        <f t="shared" si="5"/>
        <v>30000</v>
      </c>
      <c r="J143" t="s">
        <v>49</v>
      </c>
      <c r="K143" s="1">
        <v>30000</v>
      </c>
      <c r="M143" t="s">
        <v>64</v>
      </c>
    </row>
    <row r="144" spans="6:13" x14ac:dyDescent="0.3">
      <c r="F144">
        <f>SUM(H47,H50,H56,H53)</f>
        <v>15000</v>
      </c>
      <c r="G144">
        <f>SUM(H85,H88,H91,H94)</f>
        <v>15000</v>
      </c>
      <c r="H144">
        <f t="shared" si="5"/>
        <v>30000</v>
      </c>
      <c r="J144" t="s">
        <v>49</v>
      </c>
      <c r="K144" s="1">
        <v>30000</v>
      </c>
      <c r="M144" t="s">
        <v>65</v>
      </c>
    </row>
    <row r="145" spans="6:13" x14ac:dyDescent="0.3">
      <c r="F145">
        <f>SUM(H48,H51,H54,H57)</f>
        <v>0</v>
      </c>
      <c r="G145">
        <f>SUM(H86,H89,H92,H95)</f>
        <v>32500</v>
      </c>
      <c r="H145">
        <f t="shared" si="5"/>
        <v>32500</v>
      </c>
      <c r="J145" t="s">
        <v>49</v>
      </c>
      <c r="K145" s="1">
        <v>32500</v>
      </c>
      <c r="M145" t="s">
        <v>66</v>
      </c>
    </row>
    <row r="146" spans="6:13" x14ac:dyDescent="0.3">
      <c r="F146">
        <f>SUM(H49,H52,H55,H58)</f>
        <v>25000</v>
      </c>
      <c r="G146">
        <f>SUM(H87,H90,H93,H96)</f>
        <v>30000</v>
      </c>
      <c r="H146">
        <f t="shared" si="5"/>
        <v>55000</v>
      </c>
      <c r="J146" t="s">
        <v>49</v>
      </c>
      <c r="K146" s="1">
        <v>55000</v>
      </c>
      <c r="M146" t="s">
        <v>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9AC3-3C7B-4587-9E42-6BBE8DC1552E}">
  <dimension ref="A1:G270"/>
  <sheetViews>
    <sheetView showGridLines="0" topLeftCell="A10" workbookViewId="0"/>
  </sheetViews>
  <sheetFormatPr defaultRowHeight="14.4" x14ac:dyDescent="0.3"/>
  <cols>
    <col min="1" max="1" width="2.33203125" customWidth="1"/>
    <col min="2" max="2" width="7.21875" bestFit="1" customWidth="1"/>
    <col min="3" max="3" width="39.109375" bestFit="1" customWidth="1"/>
    <col min="4" max="4" width="12.6640625" bestFit="1" customWidth="1"/>
    <col min="5" max="5" width="15.33203125" bestFit="1" customWidth="1"/>
    <col min="6" max="6" width="10.44140625" bestFit="1" customWidth="1"/>
    <col min="7" max="7" width="6" bestFit="1" customWidth="1"/>
  </cols>
  <sheetData>
    <row r="1" spans="1:5" x14ac:dyDescent="0.3">
      <c r="A1" s="19" t="s">
        <v>68</v>
      </c>
    </row>
    <row r="2" spans="1:5" x14ac:dyDescent="0.3">
      <c r="A2" s="19" t="s">
        <v>573</v>
      </c>
    </row>
    <row r="3" spans="1:5" x14ac:dyDescent="0.3">
      <c r="A3" s="19" t="s">
        <v>574</v>
      </c>
    </row>
    <row r="4" spans="1:5" x14ac:dyDescent="0.3">
      <c r="A4" s="19" t="s">
        <v>69</v>
      </c>
    </row>
    <row r="5" spans="1:5" x14ac:dyDescent="0.3">
      <c r="A5" s="19" t="s">
        <v>70</v>
      </c>
    </row>
    <row r="6" spans="1:5" x14ac:dyDescent="0.3">
      <c r="A6" s="19"/>
      <c r="B6" t="s">
        <v>71</v>
      </c>
    </row>
    <row r="7" spans="1:5" x14ac:dyDescent="0.3">
      <c r="A7" s="19"/>
      <c r="B7" t="s">
        <v>575</v>
      </c>
    </row>
    <row r="8" spans="1:5" x14ac:dyDescent="0.3">
      <c r="A8" s="19"/>
      <c r="B8" t="s">
        <v>72</v>
      </c>
    </row>
    <row r="9" spans="1:5" x14ac:dyDescent="0.3">
      <c r="A9" s="19" t="s">
        <v>73</v>
      </c>
    </row>
    <row r="10" spans="1:5" x14ac:dyDescent="0.3">
      <c r="B10" t="s">
        <v>74</v>
      </c>
    </row>
    <row r="11" spans="1:5" x14ac:dyDescent="0.3">
      <c r="B11" t="s">
        <v>75</v>
      </c>
    </row>
    <row r="14" spans="1:5" ht="15" thickBot="1" x14ac:dyDescent="0.35">
      <c r="A14" t="s">
        <v>76</v>
      </c>
    </row>
    <row r="15" spans="1:5" ht="15" thickBot="1" x14ac:dyDescent="0.35">
      <c r="B15" s="34" t="s">
        <v>77</v>
      </c>
      <c r="C15" s="34" t="s">
        <v>78</v>
      </c>
      <c r="D15" s="34" t="s">
        <v>79</v>
      </c>
      <c r="E15" s="34" t="s">
        <v>80</v>
      </c>
    </row>
    <row r="16" spans="1:5" ht="15" thickBot="1" x14ac:dyDescent="0.35">
      <c r="B16" s="33" t="s">
        <v>81</v>
      </c>
      <c r="C16" s="33" t="s">
        <v>82</v>
      </c>
      <c r="D16" s="36">
        <v>1640500</v>
      </c>
      <c r="E16" s="36">
        <v>1640500</v>
      </c>
    </row>
    <row r="19" spans="1:6" ht="15" thickBot="1" x14ac:dyDescent="0.35">
      <c r="A19" t="s">
        <v>83</v>
      </c>
    </row>
    <row r="20" spans="1:6" ht="15" thickBot="1" x14ac:dyDescent="0.35">
      <c r="B20" s="34" t="s">
        <v>77</v>
      </c>
      <c r="C20" s="34" t="s">
        <v>78</v>
      </c>
      <c r="D20" s="34" t="s">
        <v>79</v>
      </c>
      <c r="E20" s="34" t="s">
        <v>80</v>
      </c>
      <c r="F20" s="34" t="s">
        <v>84</v>
      </c>
    </row>
    <row r="21" spans="1:6" x14ac:dyDescent="0.3">
      <c r="B21" s="35" t="s">
        <v>85</v>
      </c>
      <c r="C21" s="35" t="s">
        <v>86</v>
      </c>
      <c r="D21" s="35">
        <v>0</v>
      </c>
      <c r="E21" s="35">
        <v>0</v>
      </c>
      <c r="F21" s="35" t="s">
        <v>87</v>
      </c>
    </row>
    <row r="22" spans="1:6" x14ac:dyDescent="0.3">
      <c r="B22" s="35" t="s">
        <v>88</v>
      </c>
      <c r="C22" s="35" t="s">
        <v>89</v>
      </c>
      <c r="D22" s="35">
        <v>0</v>
      </c>
      <c r="E22" s="35">
        <v>0</v>
      </c>
      <c r="F22" s="35" t="s">
        <v>87</v>
      </c>
    </row>
    <row r="23" spans="1:6" x14ac:dyDescent="0.3">
      <c r="B23" s="35" t="s">
        <v>90</v>
      </c>
      <c r="C23" s="35" t="s">
        <v>91</v>
      </c>
      <c r="D23" s="35">
        <v>0</v>
      </c>
      <c r="E23" s="35">
        <v>0</v>
      </c>
      <c r="F23" s="35" t="s">
        <v>87</v>
      </c>
    </row>
    <row r="24" spans="1:6" x14ac:dyDescent="0.3">
      <c r="B24" s="35" t="s">
        <v>92</v>
      </c>
      <c r="C24" s="35" t="s">
        <v>93</v>
      </c>
      <c r="D24" s="35">
        <v>0</v>
      </c>
      <c r="E24" s="35">
        <v>0</v>
      </c>
      <c r="F24" s="35" t="s">
        <v>87</v>
      </c>
    </row>
    <row r="25" spans="1:6" x14ac:dyDescent="0.3">
      <c r="B25" s="35" t="s">
        <v>94</v>
      </c>
      <c r="C25" s="35" t="s">
        <v>95</v>
      </c>
      <c r="D25" s="35">
        <v>0</v>
      </c>
      <c r="E25" s="35">
        <v>0</v>
      </c>
      <c r="F25" s="35" t="s">
        <v>87</v>
      </c>
    </row>
    <row r="26" spans="1:6" x14ac:dyDescent="0.3">
      <c r="B26" s="35" t="s">
        <v>96</v>
      </c>
      <c r="C26" s="35" t="s">
        <v>97</v>
      </c>
      <c r="D26" s="35">
        <v>0</v>
      </c>
      <c r="E26" s="35">
        <v>0</v>
      </c>
      <c r="F26" s="35" t="s">
        <v>87</v>
      </c>
    </row>
    <row r="27" spans="1:6" x14ac:dyDescent="0.3">
      <c r="B27" s="35" t="s">
        <v>98</v>
      </c>
      <c r="C27" s="35" t="s">
        <v>99</v>
      </c>
      <c r="D27" s="35">
        <v>0</v>
      </c>
      <c r="E27" s="35">
        <v>0</v>
      </c>
      <c r="F27" s="35" t="s">
        <v>87</v>
      </c>
    </row>
    <row r="28" spans="1:6" x14ac:dyDescent="0.3">
      <c r="B28" s="35" t="s">
        <v>100</v>
      </c>
      <c r="C28" s="35" t="s">
        <v>101</v>
      </c>
      <c r="D28" s="35">
        <v>0</v>
      </c>
      <c r="E28" s="35">
        <v>0</v>
      </c>
      <c r="F28" s="35" t="s">
        <v>87</v>
      </c>
    </row>
    <row r="29" spans="1:6" x14ac:dyDescent="0.3">
      <c r="B29" s="35" t="s">
        <v>102</v>
      </c>
      <c r="C29" s="35" t="s">
        <v>103</v>
      </c>
      <c r="D29" s="35">
        <v>0</v>
      </c>
      <c r="E29" s="35">
        <v>0</v>
      </c>
      <c r="F29" s="35" t="s">
        <v>87</v>
      </c>
    </row>
    <row r="30" spans="1:6" x14ac:dyDescent="0.3">
      <c r="B30" s="35" t="s">
        <v>104</v>
      </c>
      <c r="C30" s="35" t="s">
        <v>105</v>
      </c>
      <c r="D30" s="35">
        <v>0</v>
      </c>
      <c r="E30" s="35">
        <v>0</v>
      </c>
      <c r="F30" s="35" t="s">
        <v>87</v>
      </c>
    </row>
    <row r="31" spans="1:6" x14ac:dyDescent="0.3">
      <c r="B31" s="35" t="s">
        <v>106</v>
      </c>
      <c r="C31" s="35" t="s">
        <v>107</v>
      </c>
      <c r="D31" s="35">
        <v>0</v>
      </c>
      <c r="E31" s="35">
        <v>0</v>
      </c>
      <c r="F31" s="35" t="s">
        <v>87</v>
      </c>
    </row>
    <row r="32" spans="1:6" x14ac:dyDescent="0.3">
      <c r="B32" s="35" t="s">
        <v>108</v>
      </c>
      <c r="C32" s="35" t="s">
        <v>109</v>
      </c>
      <c r="D32" s="35">
        <v>17500</v>
      </c>
      <c r="E32" s="35">
        <v>17500</v>
      </c>
      <c r="F32" s="35" t="s">
        <v>87</v>
      </c>
    </row>
    <row r="33" spans="2:6" x14ac:dyDescent="0.3">
      <c r="B33" s="35" t="s">
        <v>110</v>
      </c>
      <c r="C33" s="35" t="s">
        <v>86</v>
      </c>
      <c r="D33" s="35">
        <v>0</v>
      </c>
      <c r="E33" s="35">
        <v>0</v>
      </c>
      <c r="F33" s="35" t="s">
        <v>87</v>
      </c>
    </row>
    <row r="34" spans="2:6" x14ac:dyDescent="0.3">
      <c r="B34" s="35" t="s">
        <v>111</v>
      </c>
      <c r="C34" s="35" t="s">
        <v>89</v>
      </c>
      <c r="D34" s="35">
        <v>0</v>
      </c>
      <c r="E34" s="35">
        <v>0</v>
      </c>
      <c r="F34" s="35" t="s">
        <v>87</v>
      </c>
    </row>
    <row r="35" spans="2:6" x14ac:dyDescent="0.3">
      <c r="B35" s="35" t="s">
        <v>112</v>
      </c>
      <c r="C35" s="35" t="s">
        <v>91</v>
      </c>
      <c r="D35" s="35">
        <v>0</v>
      </c>
      <c r="E35" s="35">
        <v>0</v>
      </c>
      <c r="F35" s="35" t="s">
        <v>87</v>
      </c>
    </row>
    <row r="36" spans="2:6" x14ac:dyDescent="0.3">
      <c r="B36" s="35" t="s">
        <v>113</v>
      </c>
      <c r="C36" s="35" t="s">
        <v>93</v>
      </c>
      <c r="D36" s="35">
        <v>0</v>
      </c>
      <c r="E36" s="35">
        <v>0</v>
      </c>
      <c r="F36" s="35" t="s">
        <v>87</v>
      </c>
    </row>
    <row r="37" spans="2:6" x14ac:dyDescent="0.3">
      <c r="B37" s="35" t="s">
        <v>114</v>
      </c>
      <c r="C37" s="35" t="s">
        <v>95</v>
      </c>
      <c r="D37" s="35">
        <v>0</v>
      </c>
      <c r="E37" s="35">
        <v>0</v>
      </c>
      <c r="F37" s="35" t="s">
        <v>87</v>
      </c>
    </row>
    <row r="38" spans="2:6" x14ac:dyDescent="0.3">
      <c r="B38" s="35" t="s">
        <v>115</v>
      </c>
      <c r="C38" s="35" t="s">
        <v>97</v>
      </c>
      <c r="D38" s="35">
        <v>0</v>
      </c>
      <c r="E38" s="35">
        <v>0</v>
      </c>
      <c r="F38" s="35" t="s">
        <v>87</v>
      </c>
    </row>
    <row r="39" spans="2:6" x14ac:dyDescent="0.3">
      <c r="B39" s="35" t="s">
        <v>116</v>
      </c>
      <c r="C39" s="35" t="s">
        <v>99</v>
      </c>
      <c r="D39" s="35">
        <v>0</v>
      </c>
      <c r="E39" s="35">
        <v>0</v>
      </c>
      <c r="F39" s="35" t="s">
        <v>87</v>
      </c>
    </row>
    <row r="40" spans="2:6" x14ac:dyDescent="0.3">
      <c r="B40" s="35" t="s">
        <v>117</v>
      </c>
      <c r="C40" s="35" t="s">
        <v>101</v>
      </c>
      <c r="D40" s="35">
        <v>0</v>
      </c>
      <c r="E40" s="35">
        <v>0</v>
      </c>
      <c r="F40" s="35" t="s">
        <v>87</v>
      </c>
    </row>
    <row r="41" spans="2:6" x14ac:dyDescent="0.3">
      <c r="B41" s="35" t="s">
        <v>118</v>
      </c>
      <c r="C41" s="35" t="s">
        <v>103</v>
      </c>
      <c r="D41" s="35">
        <v>0</v>
      </c>
      <c r="E41" s="35">
        <v>0</v>
      </c>
      <c r="F41" s="35" t="s">
        <v>87</v>
      </c>
    </row>
    <row r="42" spans="2:6" x14ac:dyDescent="0.3">
      <c r="B42" s="35" t="s">
        <v>119</v>
      </c>
      <c r="C42" s="35" t="s">
        <v>105</v>
      </c>
      <c r="D42" s="35">
        <v>0</v>
      </c>
      <c r="E42" s="35">
        <v>0</v>
      </c>
      <c r="F42" s="35" t="s">
        <v>87</v>
      </c>
    </row>
    <row r="43" spans="2:6" x14ac:dyDescent="0.3">
      <c r="B43" s="35" t="s">
        <v>120</v>
      </c>
      <c r="C43" s="35" t="s">
        <v>107</v>
      </c>
      <c r="D43" s="35">
        <v>0</v>
      </c>
      <c r="E43" s="35">
        <v>0</v>
      </c>
      <c r="F43" s="35" t="s">
        <v>87</v>
      </c>
    </row>
    <row r="44" spans="2:6" x14ac:dyDescent="0.3">
      <c r="B44" s="35" t="s">
        <v>121</v>
      </c>
      <c r="C44" s="35" t="s">
        <v>109</v>
      </c>
      <c r="D44" s="35">
        <v>0</v>
      </c>
      <c r="E44" s="35">
        <v>0</v>
      </c>
      <c r="F44" s="35" t="s">
        <v>87</v>
      </c>
    </row>
    <row r="45" spans="2:6" x14ac:dyDescent="0.3">
      <c r="B45" s="35" t="s">
        <v>122</v>
      </c>
      <c r="C45" s="35" t="s">
        <v>86</v>
      </c>
      <c r="D45" s="35">
        <v>0</v>
      </c>
      <c r="E45" s="35">
        <v>0</v>
      </c>
      <c r="F45" s="35" t="s">
        <v>87</v>
      </c>
    </row>
    <row r="46" spans="2:6" x14ac:dyDescent="0.3">
      <c r="B46" s="35" t="s">
        <v>123</v>
      </c>
      <c r="C46" s="35" t="s">
        <v>89</v>
      </c>
      <c r="D46" s="35">
        <v>25000</v>
      </c>
      <c r="E46" s="35">
        <v>25000</v>
      </c>
      <c r="F46" s="35" t="s">
        <v>87</v>
      </c>
    </row>
    <row r="47" spans="2:6" x14ac:dyDescent="0.3">
      <c r="B47" s="35" t="s">
        <v>124</v>
      </c>
      <c r="C47" s="35" t="s">
        <v>91</v>
      </c>
      <c r="D47" s="35">
        <v>20000</v>
      </c>
      <c r="E47" s="35">
        <v>20000</v>
      </c>
      <c r="F47" s="35" t="s">
        <v>87</v>
      </c>
    </row>
    <row r="48" spans="2:6" x14ac:dyDescent="0.3">
      <c r="B48" s="35" t="s">
        <v>125</v>
      </c>
      <c r="C48" s="35" t="s">
        <v>93</v>
      </c>
      <c r="D48" s="35">
        <v>32500</v>
      </c>
      <c r="E48" s="35">
        <v>32500</v>
      </c>
      <c r="F48" s="35" t="s">
        <v>87</v>
      </c>
    </row>
    <row r="49" spans="2:6" x14ac:dyDescent="0.3">
      <c r="B49" s="35" t="s">
        <v>126</v>
      </c>
      <c r="C49" s="35" t="s">
        <v>95</v>
      </c>
      <c r="D49" s="35">
        <v>32500</v>
      </c>
      <c r="E49" s="35">
        <v>32500</v>
      </c>
      <c r="F49" s="35" t="s">
        <v>87</v>
      </c>
    </row>
    <row r="50" spans="2:6" x14ac:dyDescent="0.3">
      <c r="B50" s="35" t="s">
        <v>127</v>
      </c>
      <c r="C50" s="35" t="s">
        <v>97</v>
      </c>
      <c r="D50" s="35">
        <v>0</v>
      </c>
      <c r="E50" s="35">
        <v>0</v>
      </c>
      <c r="F50" s="35" t="s">
        <v>87</v>
      </c>
    </row>
    <row r="51" spans="2:6" x14ac:dyDescent="0.3">
      <c r="B51" s="35" t="s">
        <v>128</v>
      </c>
      <c r="C51" s="35" t="s">
        <v>99</v>
      </c>
      <c r="D51" s="35">
        <v>20000</v>
      </c>
      <c r="E51" s="35">
        <v>20000</v>
      </c>
      <c r="F51" s="35" t="s">
        <v>87</v>
      </c>
    </row>
    <row r="52" spans="2:6" x14ac:dyDescent="0.3">
      <c r="B52" s="35" t="s">
        <v>129</v>
      </c>
      <c r="C52" s="35" t="s">
        <v>101</v>
      </c>
      <c r="D52" s="35">
        <v>12500</v>
      </c>
      <c r="E52" s="35">
        <v>12500</v>
      </c>
      <c r="F52" s="35" t="s">
        <v>87</v>
      </c>
    </row>
    <row r="53" spans="2:6" x14ac:dyDescent="0.3">
      <c r="B53" s="35" t="s">
        <v>130</v>
      </c>
      <c r="C53" s="35" t="s">
        <v>103</v>
      </c>
      <c r="D53" s="35">
        <v>32500</v>
      </c>
      <c r="E53" s="35">
        <v>32500</v>
      </c>
      <c r="F53" s="35" t="s">
        <v>87</v>
      </c>
    </row>
    <row r="54" spans="2:6" x14ac:dyDescent="0.3">
      <c r="B54" s="35" t="s">
        <v>131</v>
      </c>
      <c r="C54" s="35" t="s">
        <v>105</v>
      </c>
      <c r="D54" s="35">
        <v>25000</v>
      </c>
      <c r="E54" s="35">
        <v>25000</v>
      </c>
      <c r="F54" s="35" t="s">
        <v>87</v>
      </c>
    </row>
    <row r="55" spans="2:6" x14ac:dyDescent="0.3">
      <c r="B55" s="35" t="s">
        <v>132</v>
      </c>
      <c r="C55" s="35" t="s">
        <v>107</v>
      </c>
      <c r="D55" s="35">
        <v>0</v>
      </c>
      <c r="E55" s="35">
        <v>0</v>
      </c>
      <c r="F55" s="35" t="s">
        <v>87</v>
      </c>
    </row>
    <row r="56" spans="2:6" x14ac:dyDescent="0.3">
      <c r="B56" s="35" t="s">
        <v>133</v>
      </c>
      <c r="C56" s="35" t="s">
        <v>109</v>
      </c>
      <c r="D56" s="35">
        <v>15000</v>
      </c>
      <c r="E56" s="35">
        <v>15000</v>
      </c>
      <c r="F56" s="35" t="s">
        <v>87</v>
      </c>
    </row>
    <row r="57" spans="2:6" x14ac:dyDescent="0.3">
      <c r="B57" s="35" t="s">
        <v>134</v>
      </c>
      <c r="C57" s="35" t="s">
        <v>86</v>
      </c>
      <c r="D57" s="35">
        <v>27500</v>
      </c>
      <c r="E57" s="35">
        <v>27500</v>
      </c>
      <c r="F57" s="35" t="s">
        <v>87</v>
      </c>
    </row>
    <row r="58" spans="2:6" x14ac:dyDescent="0.3">
      <c r="B58" s="35" t="s">
        <v>135</v>
      </c>
      <c r="C58" s="35" t="s">
        <v>89</v>
      </c>
      <c r="D58" s="35">
        <v>0</v>
      </c>
      <c r="E58" s="35">
        <v>0</v>
      </c>
      <c r="F58" s="35" t="s">
        <v>87</v>
      </c>
    </row>
    <row r="59" spans="2:6" x14ac:dyDescent="0.3">
      <c r="B59" s="35" t="s">
        <v>136</v>
      </c>
      <c r="C59" s="35" t="s">
        <v>91</v>
      </c>
      <c r="D59" s="35">
        <v>0</v>
      </c>
      <c r="E59" s="35">
        <v>0</v>
      </c>
      <c r="F59" s="35" t="s">
        <v>87</v>
      </c>
    </row>
    <row r="60" spans="2:6" x14ac:dyDescent="0.3">
      <c r="B60" s="35" t="s">
        <v>137</v>
      </c>
      <c r="C60" s="35" t="s">
        <v>93</v>
      </c>
      <c r="D60" s="35">
        <v>0</v>
      </c>
      <c r="E60" s="35">
        <v>0</v>
      </c>
      <c r="F60" s="35" t="s">
        <v>87</v>
      </c>
    </row>
    <row r="61" spans="2:6" x14ac:dyDescent="0.3">
      <c r="B61" s="35" t="s">
        <v>138</v>
      </c>
      <c r="C61" s="35" t="s">
        <v>95</v>
      </c>
      <c r="D61" s="35">
        <v>0</v>
      </c>
      <c r="E61" s="35">
        <v>0</v>
      </c>
      <c r="F61" s="35" t="s">
        <v>87</v>
      </c>
    </row>
    <row r="62" spans="2:6" x14ac:dyDescent="0.3">
      <c r="B62" s="35" t="s">
        <v>139</v>
      </c>
      <c r="C62" s="35" t="s">
        <v>97</v>
      </c>
      <c r="D62" s="35">
        <v>25000</v>
      </c>
      <c r="E62" s="35">
        <v>25000</v>
      </c>
      <c r="F62" s="35" t="s">
        <v>87</v>
      </c>
    </row>
    <row r="63" spans="2:6" x14ac:dyDescent="0.3">
      <c r="B63" s="35" t="s">
        <v>140</v>
      </c>
      <c r="C63" s="35" t="s">
        <v>99</v>
      </c>
      <c r="D63" s="35">
        <v>0</v>
      </c>
      <c r="E63" s="35">
        <v>0</v>
      </c>
      <c r="F63" s="35" t="s">
        <v>87</v>
      </c>
    </row>
    <row r="64" spans="2:6" x14ac:dyDescent="0.3">
      <c r="B64" s="35" t="s">
        <v>141</v>
      </c>
      <c r="C64" s="35" t="s">
        <v>101</v>
      </c>
      <c r="D64" s="35">
        <v>0</v>
      </c>
      <c r="E64" s="35">
        <v>0</v>
      </c>
      <c r="F64" s="35" t="s">
        <v>87</v>
      </c>
    </row>
    <row r="65" spans="2:6" x14ac:dyDescent="0.3">
      <c r="B65" s="35" t="s">
        <v>142</v>
      </c>
      <c r="C65" s="35" t="s">
        <v>103</v>
      </c>
      <c r="D65" s="35">
        <v>0</v>
      </c>
      <c r="E65" s="35">
        <v>0</v>
      </c>
      <c r="F65" s="35" t="s">
        <v>87</v>
      </c>
    </row>
    <row r="66" spans="2:6" x14ac:dyDescent="0.3">
      <c r="B66" s="35" t="s">
        <v>143</v>
      </c>
      <c r="C66" s="35" t="s">
        <v>105</v>
      </c>
      <c r="D66" s="35">
        <v>0</v>
      </c>
      <c r="E66" s="35">
        <v>0</v>
      </c>
      <c r="F66" s="35" t="s">
        <v>87</v>
      </c>
    </row>
    <row r="67" spans="2:6" x14ac:dyDescent="0.3">
      <c r="B67" s="35" t="s">
        <v>144</v>
      </c>
      <c r="C67" s="35" t="s">
        <v>107</v>
      </c>
      <c r="D67" s="35">
        <v>20000</v>
      </c>
      <c r="E67" s="35">
        <v>20000</v>
      </c>
      <c r="F67" s="35" t="s">
        <v>87</v>
      </c>
    </row>
    <row r="68" spans="2:6" x14ac:dyDescent="0.3">
      <c r="B68" s="35" t="s">
        <v>145</v>
      </c>
      <c r="C68" s="35" t="s">
        <v>109</v>
      </c>
      <c r="D68" s="35">
        <v>0</v>
      </c>
      <c r="E68" s="35">
        <v>0</v>
      </c>
      <c r="F68" s="35" t="s">
        <v>87</v>
      </c>
    </row>
    <row r="69" spans="2:6" x14ac:dyDescent="0.3">
      <c r="B69" s="35" t="s">
        <v>146</v>
      </c>
      <c r="C69" s="35" t="s">
        <v>147</v>
      </c>
      <c r="D69" s="35">
        <v>0</v>
      </c>
      <c r="E69" s="35">
        <v>0</v>
      </c>
      <c r="F69" s="35" t="s">
        <v>87</v>
      </c>
    </row>
    <row r="70" spans="2:6" x14ac:dyDescent="0.3">
      <c r="B70" s="35" t="s">
        <v>148</v>
      </c>
      <c r="C70" s="35" t="s">
        <v>149</v>
      </c>
      <c r="D70" s="35">
        <v>0</v>
      </c>
      <c r="E70" s="35">
        <v>0</v>
      </c>
      <c r="F70" s="35" t="s">
        <v>87</v>
      </c>
    </row>
    <row r="71" spans="2:6" x14ac:dyDescent="0.3">
      <c r="B71" s="35" t="s">
        <v>150</v>
      </c>
      <c r="C71" s="35" t="s">
        <v>151</v>
      </c>
      <c r="D71" s="35">
        <v>0</v>
      </c>
      <c r="E71" s="35">
        <v>0</v>
      </c>
      <c r="F71" s="35" t="s">
        <v>87</v>
      </c>
    </row>
    <row r="72" spans="2:6" x14ac:dyDescent="0.3">
      <c r="B72" s="35" t="s">
        <v>152</v>
      </c>
      <c r="C72" s="35" t="s">
        <v>153</v>
      </c>
      <c r="D72" s="35">
        <v>32500</v>
      </c>
      <c r="E72" s="35">
        <v>32500</v>
      </c>
      <c r="F72" s="35" t="s">
        <v>87</v>
      </c>
    </row>
    <row r="73" spans="2:6" x14ac:dyDescent="0.3">
      <c r="B73" s="35" t="s">
        <v>154</v>
      </c>
      <c r="C73" s="35" t="s">
        <v>155</v>
      </c>
      <c r="D73" s="35">
        <v>0</v>
      </c>
      <c r="E73" s="35">
        <v>0</v>
      </c>
      <c r="F73" s="35" t="s">
        <v>87</v>
      </c>
    </row>
    <row r="74" spans="2:6" x14ac:dyDescent="0.3">
      <c r="B74" s="35" t="s">
        <v>156</v>
      </c>
      <c r="C74" s="35" t="s">
        <v>157</v>
      </c>
      <c r="D74" s="35">
        <v>15000</v>
      </c>
      <c r="E74" s="35">
        <v>15000</v>
      </c>
      <c r="F74" s="35" t="s">
        <v>87</v>
      </c>
    </row>
    <row r="75" spans="2:6" x14ac:dyDescent="0.3">
      <c r="B75" s="35" t="s">
        <v>158</v>
      </c>
      <c r="C75" s="35" t="s">
        <v>159</v>
      </c>
      <c r="D75" s="35">
        <v>0</v>
      </c>
      <c r="E75" s="35">
        <v>0</v>
      </c>
      <c r="F75" s="35" t="s">
        <v>87</v>
      </c>
    </row>
    <row r="76" spans="2:6" x14ac:dyDescent="0.3">
      <c r="B76" s="35" t="s">
        <v>160</v>
      </c>
      <c r="C76" s="35" t="s">
        <v>161</v>
      </c>
      <c r="D76" s="35">
        <v>0</v>
      </c>
      <c r="E76" s="35">
        <v>0</v>
      </c>
      <c r="F76" s="35" t="s">
        <v>87</v>
      </c>
    </row>
    <row r="77" spans="2:6" x14ac:dyDescent="0.3">
      <c r="B77" s="35" t="s">
        <v>162</v>
      </c>
      <c r="C77" s="35" t="s">
        <v>163</v>
      </c>
      <c r="D77" s="35">
        <v>12500</v>
      </c>
      <c r="E77" s="35">
        <v>12500</v>
      </c>
      <c r="F77" s="35" t="s">
        <v>87</v>
      </c>
    </row>
    <row r="78" spans="2:6" x14ac:dyDescent="0.3">
      <c r="B78" s="35" t="s">
        <v>164</v>
      </c>
      <c r="C78" s="35" t="s">
        <v>165</v>
      </c>
      <c r="D78" s="35">
        <v>7500</v>
      </c>
      <c r="E78" s="35">
        <v>7500</v>
      </c>
      <c r="F78" s="35" t="s">
        <v>87</v>
      </c>
    </row>
    <row r="79" spans="2:6" x14ac:dyDescent="0.3">
      <c r="B79" s="35" t="s">
        <v>166</v>
      </c>
      <c r="C79" s="35" t="s">
        <v>167</v>
      </c>
      <c r="D79" s="35">
        <v>27500</v>
      </c>
      <c r="E79" s="35">
        <v>27500</v>
      </c>
      <c r="F79" s="35" t="s">
        <v>87</v>
      </c>
    </row>
    <row r="80" spans="2:6" x14ac:dyDescent="0.3">
      <c r="B80" s="35" t="s">
        <v>168</v>
      </c>
      <c r="C80" s="35" t="s">
        <v>169</v>
      </c>
      <c r="D80" s="35">
        <v>0</v>
      </c>
      <c r="E80" s="35">
        <v>0</v>
      </c>
      <c r="F80" s="35" t="s">
        <v>87</v>
      </c>
    </row>
    <row r="81" spans="2:6" x14ac:dyDescent="0.3">
      <c r="B81" s="35" t="s">
        <v>170</v>
      </c>
      <c r="C81" s="35" t="s">
        <v>171</v>
      </c>
      <c r="D81" s="35">
        <v>0</v>
      </c>
      <c r="E81" s="35">
        <v>0</v>
      </c>
      <c r="F81" s="35" t="s">
        <v>87</v>
      </c>
    </row>
    <row r="82" spans="2:6" x14ac:dyDescent="0.3">
      <c r="B82" s="35" t="s">
        <v>172</v>
      </c>
      <c r="C82" s="35" t="s">
        <v>173</v>
      </c>
      <c r="D82" s="35">
        <v>0</v>
      </c>
      <c r="E82" s="35">
        <v>0</v>
      </c>
      <c r="F82" s="35" t="s">
        <v>87</v>
      </c>
    </row>
    <row r="83" spans="2:6" x14ac:dyDescent="0.3">
      <c r="B83" s="35" t="s">
        <v>174</v>
      </c>
      <c r="C83" s="35" t="s">
        <v>175</v>
      </c>
      <c r="D83" s="35">
        <v>0</v>
      </c>
      <c r="E83" s="35">
        <v>0</v>
      </c>
      <c r="F83" s="35" t="s">
        <v>87</v>
      </c>
    </row>
    <row r="84" spans="2:6" x14ac:dyDescent="0.3">
      <c r="B84" s="35" t="s">
        <v>176</v>
      </c>
      <c r="C84" s="35" t="s">
        <v>177</v>
      </c>
      <c r="D84" s="35">
        <v>0</v>
      </c>
      <c r="E84" s="35">
        <v>0</v>
      </c>
      <c r="F84" s="35" t="s">
        <v>87</v>
      </c>
    </row>
    <row r="85" spans="2:6" x14ac:dyDescent="0.3">
      <c r="B85" s="35" t="s">
        <v>178</v>
      </c>
      <c r="C85" s="35" t="s">
        <v>179</v>
      </c>
      <c r="D85" s="35">
        <v>30000</v>
      </c>
      <c r="E85" s="35">
        <v>30000</v>
      </c>
      <c r="F85" s="35" t="s">
        <v>87</v>
      </c>
    </row>
    <row r="86" spans="2:6" x14ac:dyDescent="0.3">
      <c r="B86" s="35" t="s">
        <v>180</v>
      </c>
      <c r="C86" s="35" t="s">
        <v>181</v>
      </c>
      <c r="D86" s="35">
        <v>0</v>
      </c>
      <c r="E86" s="35">
        <v>0</v>
      </c>
      <c r="F86" s="35" t="s">
        <v>87</v>
      </c>
    </row>
    <row r="87" spans="2:6" x14ac:dyDescent="0.3">
      <c r="B87" s="35" t="s">
        <v>182</v>
      </c>
      <c r="C87" s="35" t="s">
        <v>147</v>
      </c>
      <c r="D87" s="35">
        <v>0</v>
      </c>
      <c r="E87" s="35">
        <v>0</v>
      </c>
      <c r="F87" s="35" t="s">
        <v>87</v>
      </c>
    </row>
    <row r="88" spans="2:6" x14ac:dyDescent="0.3">
      <c r="B88" s="35" t="s">
        <v>183</v>
      </c>
      <c r="C88" s="35" t="s">
        <v>149</v>
      </c>
      <c r="D88" s="35">
        <v>0</v>
      </c>
      <c r="E88" s="35">
        <v>0</v>
      </c>
      <c r="F88" s="35" t="s">
        <v>87</v>
      </c>
    </row>
    <row r="89" spans="2:6" x14ac:dyDescent="0.3">
      <c r="B89" s="35" t="s">
        <v>184</v>
      </c>
      <c r="C89" s="35" t="s">
        <v>151</v>
      </c>
      <c r="D89" s="35">
        <v>0</v>
      </c>
      <c r="E89" s="35">
        <v>0</v>
      </c>
      <c r="F89" s="35" t="s">
        <v>87</v>
      </c>
    </row>
    <row r="90" spans="2:6" x14ac:dyDescent="0.3">
      <c r="B90" s="35" t="s">
        <v>185</v>
      </c>
      <c r="C90" s="35" t="s">
        <v>153</v>
      </c>
      <c r="D90" s="35">
        <v>0</v>
      </c>
      <c r="E90" s="35">
        <v>0</v>
      </c>
      <c r="F90" s="35" t="s">
        <v>87</v>
      </c>
    </row>
    <row r="91" spans="2:6" x14ac:dyDescent="0.3">
      <c r="B91" s="35" t="s">
        <v>186</v>
      </c>
      <c r="C91" s="35" t="s">
        <v>155</v>
      </c>
      <c r="D91" s="35">
        <v>0</v>
      </c>
      <c r="E91" s="35">
        <v>0</v>
      </c>
      <c r="F91" s="35" t="s">
        <v>87</v>
      </c>
    </row>
    <row r="92" spans="2:6" x14ac:dyDescent="0.3">
      <c r="B92" s="35" t="s">
        <v>187</v>
      </c>
      <c r="C92" s="35" t="s">
        <v>157</v>
      </c>
      <c r="D92" s="35">
        <v>0</v>
      </c>
      <c r="E92" s="35">
        <v>0</v>
      </c>
      <c r="F92" s="35" t="s">
        <v>87</v>
      </c>
    </row>
    <row r="93" spans="2:6" x14ac:dyDescent="0.3">
      <c r="B93" s="35" t="s">
        <v>188</v>
      </c>
      <c r="C93" s="35" t="s">
        <v>159</v>
      </c>
      <c r="D93" s="35">
        <v>0</v>
      </c>
      <c r="E93" s="35">
        <v>0</v>
      </c>
      <c r="F93" s="35" t="s">
        <v>87</v>
      </c>
    </row>
    <row r="94" spans="2:6" x14ac:dyDescent="0.3">
      <c r="B94" s="35" t="s">
        <v>189</v>
      </c>
      <c r="C94" s="35" t="s">
        <v>161</v>
      </c>
      <c r="D94" s="35">
        <v>0</v>
      </c>
      <c r="E94" s="35">
        <v>0</v>
      </c>
      <c r="F94" s="35" t="s">
        <v>87</v>
      </c>
    </row>
    <row r="95" spans="2:6" x14ac:dyDescent="0.3">
      <c r="B95" s="35" t="s">
        <v>190</v>
      </c>
      <c r="C95" s="35" t="s">
        <v>163</v>
      </c>
      <c r="D95" s="35">
        <v>0</v>
      </c>
      <c r="E95" s="35">
        <v>0</v>
      </c>
      <c r="F95" s="35" t="s">
        <v>87</v>
      </c>
    </row>
    <row r="96" spans="2:6" x14ac:dyDescent="0.3">
      <c r="B96" s="35" t="s">
        <v>191</v>
      </c>
      <c r="C96" s="35" t="s">
        <v>165</v>
      </c>
      <c r="D96" s="35">
        <v>0</v>
      </c>
      <c r="E96" s="35">
        <v>0</v>
      </c>
      <c r="F96" s="35" t="s">
        <v>87</v>
      </c>
    </row>
    <row r="97" spans="2:6" x14ac:dyDescent="0.3">
      <c r="B97" s="35" t="s">
        <v>192</v>
      </c>
      <c r="C97" s="35" t="s">
        <v>167</v>
      </c>
      <c r="D97" s="35">
        <v>0</v>
      </c>
      <c r="E97" s="35">
        <v>0</v>
      </c>
      <c r="F97" s="35" t="s">
        <v>87</v>
      </c>
    </row>
    <row r="98" spans="2:6" x14ac:dyDescent="0.3">
      <c r="B98" s="35" t="s">
        <v>193</v>
      </c>
      <c r="C98" s="35" t="s">
        <v>169</v>
      </c>
      <c r="D98" s="35">
        <v>0</v>
      </c>
      <c r="E98" s="35">
        <v>0</v>
      </c>
      <c r="F98" s="35" t="s">
        <v>87</v>
      </c>
    </row>
    <row r="99" spans="2:6" x14ac:dyDescent="0.3">
      <c r="B99" s="35" t="s">
        <v>194</v>
      </c>
      <c r="C99" s="35" t="s">
        <v>171</v>
      </c>
      <c r="D99" s="35">
        <v>0</v>
      </c>
      <c r="E99" s="35">
        <v>0</v>
      </c>
      <c r="F99" s="35" t="s">
        <v>87</v>
      </c>
    </row>
    <row r="100" spans="2:6" x14ac:dyDescent="0.3">
      <c r="B100" s="35" t="s">
        <v>195</v>
      </c>
      <c r="C100" s="35" t="s">
        <v>173</v>
      </c>
      <c r="D100" s="35">
        <v>0</v>
      </c>
      <c r="E100" s="35">
        <v>0</v>
      </c>
      <c r="F100" s="35" t="s">
        <v>87</v>
      </c>
    </row>
    <row r="101" spans="2:6" x14ac:dyDescent="0.3">
      <c r="B101" s="35" t="s">
        <v>196</v>
      </c>
      <c r="C101" s="35" t="s">
        <v>175</v>
      </c>
      <c r="D101" s="35">
        <v>0</v>
      </c>
      <c r="E101" s="35">
        <v>0</v>
      </c>
      <c r="F101" s="35" t="s">
        <v>87</v>
      </c>
    </row>
    <row r="102" spans="2:6" x14ac:dyDescent="0.3">
      <c r="B102" s="35" t="s">
        <v>197</v>
      </c>
      <c r="C102" s="35" t="s">
        <v>177</v>
      </c>
      <c r="D102" s="35">
        <v>0</v>
      </c>
      <c r="E102" s="35">
        <v>0</v>
      </c>
      <c r="F102" s="35" t="s">
        <v>87</v>
      </c>
    </row>
    <row r="103" spans="2:6" x14ac:dyDescent="0.3">
      <c r="B103" s="35" t="s">
        <v>198</v>
      </c>
      <c r="C103" s="35" t="s">
        <v>179</v>
      </c>
      <c r="D103" s="35">
        <v>0</v>
      </c>
      <c r="E103" s="35">
        <v>0</v>
      </c>
      <c r="F103" s="35" t="s">
        <v>87</v>
      </c>
    </row>
    <row r="104" spans="2:6" x14ac:dyDescent="0.3">
      <c r="B104" s="35" t="s">
        <v>199</v>
      </c>
      <c r="C104" s="35" t="s">
        <v>181</v>
      </c>
      <c r="D104" s="35">
        <v>0</v>
      </c>
      <c r="E104" s="35">
        <v>0</v>
      </c>
      <c r="F104" s="35" t="s">
        <v>87</v>
      </c>
    </row>
    <row r="105" spans="2:6" x14ac:dyDescent="0.3">
      <c r="B105" s="35" t="s">
        <v>200</v>
      </c>
      <c r="C105" s="35" t="s">
        <v>147</v>
      </c>
      <c r="D105" s="35">
        <v>0</v>
      </c>
      <c r="E105" s="35">
        <v>0</v>
      </c>
      <c r="F105" s="35" t="s">
        <v>87</v>
      </c>
    </row>
    <row r="106" spans="2:6" x14ac:dyDescent="0.3">
      <c r="B106" s="35" t="s">
        <v>201</v>
      </c>
      <c r="C106" s="35" t="s">
        <v>149</v>
      </c>
      <c r="D106" s="35">
        <v>0</v>
      </c>
      <c r="E106" s="35">
        <v>0</v>
      </c>
      <c r="F106" s="35" t="s">
        <v>87</v>
      </c>
    </row>
    <row r="107" spans="2:6" x14ac:dyDescent="0.3">
      <c r="B107" s="35" t="s">
        <v>202</v>
      </c>
      <c r="C107" s="35" t="s">
        <v>151</v>
      </c>
      <c r="D107" s="35">
        <v>0</v>
      </c>
      <c r="E107" s="35">
        <v>0</v>
      </c>
      <c r="F107" s="35" t="s">
        <v>87</v>
      </c>
    </row>
    <row r="108" spans="2:6" x14ac:dyDescent="0.3">
      <c r="B108" s="35" t="s">
        <v>203</v>
      </c>
      <c r="C108" s="35" t="s">
        <v>153</v>
      </c>
      <c r="D108" s="35">
        <v>0</v>
      </c>
      <c r="E108" s="35">
        <v>0</v>
      </c>
      <c r="F108" s="35" t="s">
        <v>87</v>
      </c>
    </row>
    <row r="109" spans="2:6" x14ac:dyDescent="0.3">
      <c r="B109" s="35" t="s">
        <v>204</v>
      </c>
      <c r="C109" s="35" t="s">
        <v>155</v>
      </c>
      <c r="D109" s="35">
        <v>0</v>
      </c>
      <c r="E109" s="35">
        <v>0</v>
      </c>
      <c r="F109" s="35" t="s">
        <v>87</v>
      </c>
    </row>
    <row r="110" spans="2:6" x14ac:dyDescent="0.3">
      <c r="B110" s="35" t="s">
        <v>205</v>
      </c>
      <c r="C110" s="35" t="s">
        <v>157</v>
      </c>
      <c r="D110" s="35">
        <v>0</v>
      </c>
      <c r="E110" s="35">
        <v>0</v>
      </c>
      <c r="F110" s="35" t="s">
        <v>87</v>
      </c>
    </row>
    <row r="111" spans="2:6" x14ac:dyDescent="0.3">
      <c r="B111" s="35" t="s">
        <v>206</v>
      </c>
      <c r="C111" s="35" t="s">
        <v>159</v>
      </c>
      <c r="D111" s="35">
        <v>0</v>
      </c>
      <c r="E111" s="35">
        <v>0</v>
      </c>
      <c r="F111" s="35" t="s">
        <v>87</v>
      </c>
    </row>
    <row r="112" spans="2:6" x14ac:dyDescent="0.3">
      <c r="B112" s="35" t="s">
        <v>207</v>
      </c>
      <c r="C112" s="35" t="s">
        <v>161</v>
      </c>
      <c r="D112" s="35">
        <v>0</v>
      </c>
      <c r="E112" s="35">
        <v>0</v>
      </c>
      <c r="F112" s="35" t="s">
        <v>87</v>
      </c>
    </row>
    <row r="113" spans="2:6" x14ac:dyDescent="0.3">
      <c r="B113" s="35" t="s">
        <v>208</v>
      </c>
      <c r="C113" s="35" t="s">
        <v>163</v>
      </c>
      <c r="D113" s="35">
        <v>0</v>
      </c>
      <c r="E113" s="35">
        <v>0</v>
      </c>
      <c r="F113" s="35" t="s">
        <v>87</v>
      </c>
    </row>
    <row r="114" spans="2:6" x14ac:dyDescent="0.3">
      <c r="B114" s="35" t="s">
        <v>209</v>
      </c>
      <c r="C114" s="35" t="s">
        <v>165</v>
      </c>
      <c r="D114" s="35">
        <v>0</v>
      </c>
      <c r="E114" s="35">
        <v>0</v>
      </c>
      <c r="F114" s="35" t="s">
        <v>87</v>
      </c>
    </row>
    <row r="115" spans="2:6" x14ac:dyDescent="0.3">
      <c r="B115" s="35" t="s">
        <v>210</v>
      </c>
      <c r="C115" s="35" t="s">
        <v>167</v>
      </c>
      <c r="D115" s="35">
        <v>0</v>
      </c>
      <c r="E115" s="35">
        <v>0</v>
      </c>
      <c r="F115" s="35" t="s">
        <v>87</v>
      </c>
    </row>
    <row r="116" spans="2:6" x14ac:dyDescent="0.3">
      <c r="B116" s="35" t="s">
        <v>211</v>
      </c>
      <c r="C116" s="35" t="s">
        <v>169</v>
      </c>
      <c r="D116" s="35">
        <v>0</v>
      </c>
      <c r="E116" s="35">
        <v>0</v>
      </c>
      <c r="F116" s="35" t="s">
        <v>87</v>
      </c>
    </row>
    <row r="117" spans="2:6" x14ac:dyDescent="0.3">
      <c r="B117" s="35" t="s">
        <v>212</v>
      </c>
      <c r="C117" s="35" t="s">
        <v>171</v>
      </c>
      <c r="D117" s="35">
        <v>0</v>
      </c>
      <c r="E117" s="35">
        <v>0</v>
      </c>
      <c r="F117" s="35" t="s">
        <v>87</v>
      </c>
    </row>
    <row r="118" spans="2:6" x14ac:dyDescent="0.3">
      <c r="B118" s="35" t="s">
        <v>213</v>
      </c>
      <c r="C118" s="35" t="s">
        <v>173</v>
      </c>
      <c r="D118" s="35">
        <v>0</v>
      </c>
      <c r="E118" s="35">
        <v>0</v>
      </c>
      <c r="F118" s="35" t="s">
        <v>87</v>
      </c>
    </row>
    <row r="119" spans="2:6" x14ac:dyDescent="0.3">
      <c r="B119" s="35" t="s">
        <v>214</v>
      </c>
      <c r="C119" s="35" t="s">
        <v>175</v>
      </c>
      <c r="D119" s="35">
        <v>0</v>
      </c>
      <c r="E119" s="35">
        <v>0</v>
      </c>
      <c r="F119" s="35" t="s">
        <v>87</v>
      </c>
    </row>
    <row r="120" spans="2:6" x14ac:dyDescent="0.3">
      <c r="B120" s="35" t="s">
        <v>215</v>
      </c>
      <c r="C120" s="35" t="s">
        <v>177</v>
      </c>
      <c r="D120" s="35">
        <v>0</v>
      </c>
      <c r="E120" s="35">
        <v>0</v>
      </c>
      <c r="F120" s="35" t="s">
        <v>87</v>
      </c>
    </row>
    <row r="121" spans="2:6" x14ac:dyDescent="0.3">
      <c r="B121" s="35" t="s">
        <v>216</v>
      </c>
      <c r="C121" s="35" t="s">
        <v>179</v>
      </c>
      <c r="D121" s="35">
        <v>0</v>
      </c>
      <c r="E121" s="35">
        <v>0</v>
      </c>
      <c r="F121" s="35" t="s">
        <v>87</v>
      </c>
    </row>
    <row r="122" spans="2:6" x14ac:dyDescent="0.3">
      <c r="B122" s="35" t="s">
        <v>217</v>
      </c>
      <c r="C122" s="35" t="s">
        <v>181</v>
      </c>
      <c r="D122" s="35">
        <v>0</v>
      </c>
      <c r="E122" s="35">
        <v>0</v>
      </c>
      <c r="F122" s="35" t="s">
        <v>87</v>
      </c>
    </row>
    <row r="123" spans="2:6" x14ac:dyDescent="0.3">
      <c r="B123" s="35" t="s">
        <v>218</v>
      </c>
      <c r="C123" s="35" t="s">
        <v>147</v>
      </c>
      <c r="D123" s="35">
        <v>0</v>
      </c>
      <c r="E123" s="35">
        <v>0</v>
      </c>
      <c r="F123" s="35" t="s">
        <v>87</v>
      </c>
    </row>
    <row r="124" spans="2:6" x14ac:dyDescent="0.3">
      <c r="B124" s="35" t="s">
        <v>219</v>
      </c>
      <c r="C124" s="35" t="s">
        <v>149</v>
      </c>
      <c r="D124" s="35">
        <v>0</v>
      </c>
      <c r="E124" s="35">
        <v>0</v>
      </c>
      <c r="F124" s="35" t="s">
        <v>87</v>
      </c>
    </row>
    <row r="125" spans="2:6" x14ac:dyDescent="0.3">
      <c r="B125" s="35" t="s">
        <v>220</v>
      </c>
      <c r="C125" s="35" t="s">
        <v>151</v>
      </c>
      <c r="D125" s="35">
        <v>0</v>
      </c>
      <c r="E125" s="35">
        <v>0</v>
      </c>
      <c r="F125" s="35" t="s">
        <v>87</v>
      </c>
    </row>
    <row r="126" spans="2:6" x14ac:dyDescent="0.3">
      <c r="B126" s="35" t="s">
        <v>221</v>
      </c>
      <c r="C126" s="35" t="s">
        <v>153</v>
      </c>
      <c r="D126" s="35">
        <v>0</v>
      </c>
      <c r="E126" s="35">
        <v>0</v>
      </c>
      <c r="F126" s="35" t="s">
        <v>87</v>
      </c>
    </row>
    <row r="127" spans="2:6" x14ac:dyDescent="0.3">
      <c r="B127" s="35" t="s">
        <v>222</v>
      </c>
      <c r="C127" s="35" t="s">
        <v>155</v>
      </c>
      <c r="D127" s="35">
        <v>0</v>
      </c>
      <c r="E127" s="35">
        <v>0</v>
      </c>
      <c r="F127" s="35" t="s">
        <v>87</v>
      </c>
    </row>
    <row r="128" spans="2:6" x14ac:dyDescent="0.3">
      <c r="B128" s="35" t="s">
        <v>223</v>
      </c>
      <c r="C128" s="35" t="s">
        <v>157</v>
      </c>
      <c r="D128" s="35">
        <v>0</v>
      </c>
      <c r="E128" s="35">
        <v>0</v>
      </c>
      <c r="F128" s="35" t="s">
        <v>87</v>
      </c>
    </row>
    <row r="129" spans="2:6" x14ac:dyDescent="0.3">
      <c r="B129" s="35" t="s">
        <v>224</v>
      </c>
      <c r="C129" s="35" t="s">
        <v>159</v>
      </c>
      <c r="D129" s="35">
        <v>0</v>
      </c>
      <c r="E129" s="35">
        <v>0</v>
      </c>
      <c r="F129" s="35" t="s">
        <v>87</v>
      </c>
    </row>
    <row r="130" spans="2:6" x14ac:dyDescent="0.3">
      <c r="B130" s="35" t="s">
        <v>225</v>
      </c>
      <c r="C130" s="35" t="s">
        <v>161</v>
      </c>
      <c r="D130" s="35">
        <v>0</v>
      </c>
      <c r="E130" s="35">
        <v>0</v>
      </c>
      <c r="F130" s="35" t="s">
        <v>87</v>
      </c>
    </row>
    <row r="131" spans="2:6" x14ac:dyDescent="0.3">
      <c r="B131" s="35" t="s">
        <v>226</v>
      </c>
      <c r="C131" s="35" t="s">
        <v>163</v>
      </c>
      <c r="D131" s="35">
        <v>0</v>
      </c>
      <c r="E131" s="35">
        <v>0</v>
      </c>
      <c r="F131" s="35" t="s">
        <v>87</v>
      </c>
    </row>
    <row r="132" spans="2:6" x14ac:dyDescent="0.3">
      <c r="B132" s="35" t="s">
        <v>227</v>
      </c>
      <c r="C132" s="35" t="s">
        <v>165</v>
      </c>
      <c r="D132" s="35">
        <v>0</v>
      </c>
      <c r="E132" s="35">
        <v>0</v>
      </c>
      <c r="F132" s="35" t="s">
        <v>87</v>
      </c>
    </row>
    <row r="133" spans="2:6" x14ac:dyDescent="0.3">
      <c r="B133" s="35" t="s">
        <v>228</v>
      </c>
      <c r="C133" s="35" t="s">
        <v>167</v>
      </c>
      <c r="D133" s="35">
        <v>0</v>
      </c>
      <c r="E133" s="35">
        <v>0</v>
      </c>
      <c r="F133" s="35" t="s">
        <v>87</v>
      </c>
    </row>
    <row r="134" spans="2:6" x14ac:dyDescent="0.3">
      <c r="B134" s="35" t="s">
        <v>229</v>
      </c>
      <c r="C134" s="35" t="s">
        <v>169</v>
      </c>
      <c r="D134" s="35">
        <v>0</v>
      </c>
      <c r="E134" s="35">
        <v>0</v>
      </c>
      <c r="F134" s="35" t="s">
        <v>87</v>
      </c>
    </row>
    <row r="135" spans="2:6" x14ac:dyDescent="0.3">
      <c r="B135" s="35" t="s">
        <v>230</v>
      </c>
      <c r="C135" s="35" t="s">
        <v>171</v>
      </c>
      <c r="D135" s="35">
        <v>0</v>
      </c>
      <c r="E135" s="35">
        <v>0</v>
      </c>
      <c r="F135" s="35" t="s">
        <v>87</v>
      </c>
    </row>
    <row r="136" spans="2:6" x14ac:dyDescent="0.3">
      <c r="B136" s="35" t="s">
        <v>231</v>
      </c>
      <c r="C136" s="35" t="s">
        <v>173</v>
      </c>
      <c r="D136" s="35">
        <v>0</v>
      </c>
      <c r="E136" s="35">
        <v>0</v>
      </c>
      <c r="F136" s="35" t="s">
        <v>87</v>
      </c>
    </row>
    <row r="137" spans="2:6" x14ac:dyDescent="0.3">
      <c r="B137" s="35" t="s">
        <v>232</v>
      </c>
      <c r="C137" s="35" t="s">
        <v>175</v>
      </c>
      <c r="D137" s="35">
        <v>0</v>
      </c>
      <c r="E137" s="35">
        <v>0</v>
      </c>
      <c r="F137" s="35" t="s">
        <v>87</v>
      </c>
    </row>
    <row r="138" spans="2:6" x14ac:dyDescent="0.3">
      <c r="B138" s="35" t="s">
        <v>233</v>
      </c>
      <c r="C138" s="35" t="s">
        <v>177</v>
      </c>
      <c r="D138" s="35">
        <v>0</v>
      </c>
      <c r="E138" s="35">
        <v>0</v>
      </c>
      <c r="F138" s="35" t="s">
        <v>87</v>
      </c>
    </row>
    <row r="139" spans="2:6" x14ac:dyDescent="0.3">
      <c r="B139" s="35" t="s">
        <v>234</v>
      </c>
      <c r="C139" s="35" t="s">
        <v>179</v>
      </c>
      <c r="D139" s="35">
        <v>0</v>
      </c>
      <c r="E139" s="35">
        <v>0</v>
      </c>
      <c r="F139" s="35" t="s">
        <v>87</v>
      </c>
    </row>
    <row r="140" spans="2:6" x14ac:dyDescent="0.3">
      <c r="B140" s="35" t="s">
        <v>235</v>
      </c>
      <c r="C140" s="35" t="s">
        <v>181</v>
      </c>
      <c r="D140" s="35">
        <v>25000</v>
      </c>
      <c r="E140" s="35">
        <v>25000</v>
      </c>
      <c r="F140" s="35" t="s">
        <v>87</v>
      </c>
    </row>
    <row r="141" spans="2:6" x14ac:dyDescent="0.3">
      <c r="B141" s="35" t="s">
        <v>236</v>
      </c>
      <c r="C141" s="35" t="s">
        <v>147</v>
      </c>
      <c r="D141" s="35">
        <v>0</v>
      </c>
      <c r="E141" s="35">
        <v>0</v>
      </c>
      <c r="F141" s="35" t="s">
        <v>87</v>
      </c>
    </row>
    <row r="142" spans="2:6" x14ac:dyDescent="0.3">
      <c r="B142" s="35" t="s">
        <v>237</v>
      </c>
      <c r="C142" s="35" t="s">
        <v>149</v>
      </c>
      <c r="D142" s="35">
        <v>0</v>
      </c>
      <c r="E142" s="35">
        <v>0</v>
      </c>
      <c r="F142" s="35" t="s">
        <v>87</v>
      </c>
    </row>
    <row r="143" spans="2:6" x14ac:dyDescent="0.3">
      <c r="B143" s="35" t="s">
        <v>238</v>
      </c>
      <c r="C143" s="35" t="s">
        <v>151</v>
      </c>
      <c r="D143" s="35">
        <v>0</v>
      </c>
      <c r="E143" s="35">
        <v>0</v>
      </c>
      <c r="F143" s="35" t="s">
        <v>87</v>
      </c>
    </row>
    <row r="144" spans="2:6" x14ac:dyDescent="0.3">
      <c r="B144" s="35" t="s">
        <v>239</v>
      </c>
      <c r="C144" s="35" t="s">
        <v>153</v>
      </c>
      <c r="D144" s="35">
        <v>0</v>
      </c>
      <c r="E144" s="35">
        <v>0</v>
      </c>
      <c r="F144" s="35" t="s">
        <v>87</v>
      </c>
    </row>
    <row r="145" spans="2:6" x14ac:dyDescent="0.3">
      <c r="B145" s="35" t="s">
        <v>240</v>
      </c>
      <c r="C145" s="35" t="s">
        <v>155</v>
      </c>
      <c r="D145" s="35">
        <v>27500</v>
      </c>
      <c r="E145" s="35">
        <v>27500</v>
      </c>
      <c r="F145" s="35" t="s">
        <v>87</v>
      </c>
    </row>
    <row r="146" spans="2:6" x14ac:dyDescent="0.3">
      <c r="B146" s="35" t="s">
        <v>241</v>
      </c>
      <c r="C146" s="35" t="s">
        <v>157</v>
      </c>
      <c r="D146" s="35">
        <v>0</v>
      </c>
      <c r="E146" s="35">
        <v>0</v>
      </c>
      <c r="F146" s="35" t="s">
        <v>87</v>
      </c>
    </row>
    <row r="147" spans="2:6" x14ac:dyDescent="0.3">
      <c r="B147" s="35" t="s">
        <v>242</v>
      </c>
      <c r="C147" s="35" t="s">
        <v>159</v>
      </c>
      <c r="D147" s="35">
        <v>7500</v>
      </c>
      <c r="E147" s="35">
        <v>7500</v>
      </c>
      <c r="F147" s="35" t="s">
        <v>87</v>
      </c>
    </row>
    <row r="148" spans="2:6" x14ac:dyDescent="0.3">
      <c r="B148" s="35" t="s">
        <v>243</v>
      </c>
      <c r="C148" s="35" t="s">
        <v>161</v>
      </c>
      <c r="D148" s="35">
        <v>12500</v>
      </c>
      <c r="E148" s="35">
        <v>12500</v>
      </c>
      <c r="F148" s="35" t="s">
        <v>87</v>
      </c>
    </row>
    <row r="149" spans="2:6" x14ac:dyDescent="0.3">
      <c r="B149" s="35" t="s">
        <v>244</v>
      </c>
      <c r="C149" s="35" t="s">
        <v>163</v>
      </c>
      <c r="D149" s="35">
        <v>12500</v>
      </c>
      <c r="E149" s="35">
        <v>12500</v>
      </c>
      <c r="F149" s="35" t="s">
        <v>87</v>
      </c>
    </row>
    <row r="150" spans="2:6" x14ac:dyDescent="0.3">
      <c r="B150" s="35" t="s">
        <v>245</v>
      </c>
      <c r="C150" s="35" t="s">
        <v>165</v>
      </c>
      <c r="D150" s="35">
        <v>0</v>
      </c>
      <c r="E150" s="35">
        <v>0</v>
      </c>
      <c r="F150" s="35" t="s">
        <v>87</v>
      </c>
    </row>
    <row r="151" spans="2:6" x14ac:dyDescent="0.3">
      <c r="B151" s="35" t="s">
        <v>246</v>
      </c>
      <c r="C151" s="35" t="s">
        <v>167</v>
      </c>
      <c r="D151" s="35">
        <v>0</v>
      </c>
      <c r="E151" s="35">
        <v>0</v>
      </c>
      <c r="F151" s="35" t="s">
        <v>87</v>
      </c>
    </row>
    <row r="152" spans="2:6" x14ac:dyDescent="0.3">
      <c r="B152" s="35" t="s">
        <v>247</v>
      </c>
      <c r="C152" s="35" t="s">
        <v>169</v>
      </c>
      <c r="D152" s="35">
        <v>0</v>
      </c>
      <c r="E152" s="35">
        <v>0</v>
      </c>
      <c r="F152" s="35" t="s">
        <v>87</v>
      </c>
    </row>
    <row r="153" spans="2:6" x14ac:dyDescent="0.3">
      <c r="B153" s="35" t="s">
        <v>248</v>
      </c>
      <c r="C153" s="35" t="s">
        <v>171</v>
      </c>
      <c r="D153" s="35">
        <v>0</v>
      </c>
      <c r="E153" s="35">
        <v>0</v>
      </c>
      <c r="F153" s="35" t="s">
        <v>87</v>
      </c>
    </row>
    <row r="154" spans="2:6" x14ac:dyDescent="0.3">
      <c r="B154" s="35" t="s">
        <v>249</v>
      </c>
      <c r="C154" s="35" t="s">
        <v>173</v>
      </c>
      <c r="D154" s="35">
        <v>22500</v>
      </c>
      <c r="E154" s="35">
        <v>22500</v>
      </c>
      <c r="F154" s="35" t="s">
        <v>87</v>
      </c>
    </row>
    <row r="155" spans="2:6" x14ac:dyDescent="0.3">
      <c r="B155" s="35" t="s">
        <v>250</v>
      </c>
      <c r="C155" s="35" t="s">
        <v>175</v>
      </c>
      <c r="D155" s="35">
        <v>0</v>
      </c>
      <c r="E155" s="35">
        <v>0</v>
      </c>
      <c r="F155" s="35" t="s">
        <v>87</v>
      </c>
    </row>
    <row r="156" spans="2:6" x14ac:dyDescent="0.3">
      <c r="B156" s="35" t="s">
        <v>251</v>
      </c>
      <c r="C156" s="35" t="s">
        <v>177</v>
      </c>
      <c r="D156" s="35">
        <v>10000</v>
      </c>
      <c r="E156" s="35">
        <v>10000</v>
      </c>
      <c r="F156" s="35" t="s">
        <v>87</v>
      </c>
    </row>
    <row r="157" spans="2:6" x14ac:dyDescent="0.3">
      <c r="B157" s="35" t="s">
        <v>252</v>
      </c>
      <c r="C157" s="35" t="s">
        <v>179</v>
      </c>
      <c r="D157" s="35">
        <v>0</v>
      </c>
      <c r="E157" s="35">
        <v>0</v>
      </c>
      <c r="F157" s="35" t="s">
        <v>87</v>
      </c>
    </row>
    <row r="158" spans="2:6" x14ac:dyDescent="0.3">
      <c r="B158" s="35" t="s">
        <v>253</v>
      </c>
      <c r="C158" s="35" t="s">
        <v>181</v>
      </c>
      <c r="D158" s="35">
        <v>0</v>
      </c>
      <c r="E158" s="35">
        <v>0</v>
      </c>
      <c r="F158" s="35" t="s">
        <v>87</v>
      </c>
    </row>
    <row r="159" spans="2:6" x14ac:dyDescent="0.3">
      <c r="B159" s="35" t="s">
        <v>254</v>
      </c>
      <c r="C159" s="35" t="s">
        <v>147</v>
      </c>
      <c r="D159" s="35">
        <v>0</v>
      </c>
      <c r="E159" s="35">
        <v>0</v>
      </c>
      <c r="F159" s="35" t="s">
        <v>87</v>
      </c>
    </row>
    <row r="160" spans="2:6" x14ac:dyDescent="0.3">
      <c r="B160" s="35" t="s">
        <v>255</v>
      </c>
      <c r="C160" s="35" t="s">
        <v>149</v>
      </c>
      <c r="D160" s="35">
        <v>0</v>
      </c>
      <c r="E160" s="35">
        <v>0</v>
      </c>
      <c r="F160" s="35" t="s">
        <v>87</v>
      </c>
    </row>
    <row r="161" spans="2:6" x14ac:dyDescent="0.3">
      <c r="B161" s="35" t="s">
        <v>256</v>
      </c>
      <c r="C161" s="35" t="s">
        <v>151</v>
      </c>
      <c r="D161" s="35">
        <v>20000</v>
      </c>
      <c r="E161" s="35">
        <v>20000</v>
      </c>
      <c r="F161" s="35" t="s">
        <v>87</v>
      </c>
    </row>
    <row r="162" spans="2:6" x14ac:dyDescent="0.3">
      <c r="B162" s="35" t="s">
        <v>257</v>
      </c>
      <c r="C162" s="35" t="s">
        <v>153</v>
      </c>
      <c r="D162" s="35">
        <v>0</v>
      </c>
      <c r="E162" s="35">
        <v>0</v>
      </c>
      <c r="F162" s="35" t="s">
        <v>87</v>
      </c>
    </row>
    <row r="163" spans="2:6" x14ac:dyDescent="0.3">
      <c r="B163" s="35" t="s">
        <v>258</v>
      </c>
      <c r="C163" s="35" t="s">
        <v>155</v>
      </c>
      <c r="D163" s="35">
        <v>0</v>
      </c>
      <c r="E163" s="35">
        <v>0</v>
      </c>
      <c r="F163" s="35" t="s">
        <v>87</v>
      </c>
    </row>
    <row r="164" spans="2:6" x14ac:dyDescent="0.3">
      <c r="B164" s="35" t="s">
        <v>259</v>
      </c>
      <c r="C164" s="35" t="s">
        <v>157</v>
      </c>
      <c r="D164" s="35">
        <v>5000</v>
      </c>
      <c r="E164" s="35">
        <v>5000</v>
      </c>
      <c r="F164" s="35" t="s">
        <v>87</v>
      </c>
    </row>
    <row r="165" spans="2:6" x14ac:dyDescent="0.3">
      <c r="B165" s="35" t="s">
        <v>260</v>
      </c>
      <c r="C165" s="35" t="s">
        <v>159</v>
      </c>
      <c r="D165" s="35">
        <v>0</v>
      </c>
      <c r="E165" s="35">
        <v>0</v>
      </c>
      <c r="F165" s="35" t="s">
        <v>87</v>
      </c>
    </row>
    <row r="166" spans="2:6" x14ac:dyDescent="0.3">
      <c r="B166" s="35" t="s">
        <v>261</v>
      </c>
      <c r="C166" s="35" t="s">
        <v>161</v>
      </c>
      <c r="D166" s="35">
        <v>0</v>
      </c>
      <c r="E166" s="35">
        <v>0</v>
      </c>
      <c r="F166" s="35" t="s">
        <v>87</v>
      </c>
    </row>
    <row r="167" spans="2:6" x14ac:dyDescent="0.3">
      <c r="B167" s="35" t="s">
        <v>262</v>
      </c>
      <c r="C167" s="35" t="s">
        <v>163</v>
      </c>
      <c r="D167" s="35">
        <v>0</v>
      </c>
      <c r="E167" s="35">
        <v>0</v>
      </c>
      <c r="F167" s="35" t="s">
        <v>87</v>
      </c>
    </row>
    <row r="168" spans="2:6" x14ac:dyDescent="0.3">
      <c r="B168" s="35" t="s">
        <v>263</v>
      </c>
      <c r="C168" s="35" t="s">
        <v>165</v>
      </c>
      <c r="D168" s="35">
        <v>25000</v>
      </c>
      <c r="E168" s="35">
        <v>25000</v>
      </c>
      <c r="F168" s="35" t="s">
        <v>87</v>
      </c>
    </row>
    <row r="169" spans="2:6" x14ac:dyDescent="0.3">
      <c r="B169" s="35" t="s">
        <v>264</v>
      </c>
      <c r="C169" s="35" t="s">
        <v>167</v>
      </c>
      <c r="D169" s="35">
        <v>0</v>
      </c>
      <c r="E169" s="35">
        <v>0</v>
      </c>
      <c r="F169" s="35" t="s">
        <v>87</v>
      </c>
    </row>
    <row r="170" spans="2:6" x14ac:dyDescent="0.3">
      <c r="B170" s="35" t="s">
        <v>265</v>
      </c>
      <c r="C170" s="35" t="s">
        <v>169</v>
      </c>
      <c r="D170" s="35">
        <v>0</v>
      </c>
      <c r="E170" s="35">
        <v>0</v>
      </c>
      <c r="F170" s="35" t="s">
        <v>87</v>
      </c>
    </row>
    <row r="171" spans="2:6" x14ac:dyDescent="0.3">
      <c r="B171" s="35" t="s">
        <v>266</v>
      </c>
      <c r="C171" s="35" t="s">
        <v>171</v>
      </c>
      <c r="D171" s="35">
        <v>0</v>
      </c>
      <c r="E171" s="35">
        <v>0</v>
      </c>
      <c r="F171" s="35" t="s">
        <v>87</v>
      </c>
    </row>
    <row r="172" spans="2:6" x14ac:dyDescent="0.3">
      <c r="B172" s="35" t="s">
        <v>267</v>
      </c>
      <c r="C172" s="35" t="s">
        <v>173</v>
      </c>
      <c r="D172" s="35">
        <v>0</v>
      </c>
      <c r="E172" s="35">
        <v>0</v>
      </c>
      <c r="F172" s="35" t="s">
        <v>87</v>
      </c>
    </row>
    <row r="173" spans="2:6" x14ac:dyDescent="0.3">
      <c r="B173" s="35" t="s">
        <v>268</v>
      </c>
      <c r="C173" s="35" t="s">
        <v>175</v>
      </c>
      <c r="D173" s="35">
        <v>0</v>
      </c>
      <c r="E173" s="35">
        <v>0</v>
      </c>
      <c r="F173" s="35" t="s">
        <v>87</v>
      </c>
    </row>
    <row r="174" spans="2:6" x14ac:dyDescent="0.3">
      <c r="B174" s="35" t="s">
        <v>269</v>
      </c>
      <c r="C174" s="35" t="s">
        <v>177</v>
      </c>
      <c r="D174" s="35">
        <v>25000</v>
      </c>
      <c r="E174" s="35">
        <v>25000</v>
      </c>
      <c r="F174" s="35" t="s">
        <v>87</v>
      </c>
    </row>
    <row r="175" spans="2:6" x14ac:dyDescent="0.3">
      <c r="B175" s="35" t="s">
        <v>270</v>
      </c>
      <c r="C175" s="35" t="s">
        <v>179</v>
      </c>
      <c r="D175" s="35">
        <v>0</v>
      </c>
      <c r="E175" s="35">
        <v>0</v>
      </c>
      <c r="F175" s="35" t="s">
        <v>87</v>
      </c>
    </row>
    <row r="176" spans="2:6" x14ac:dyDescent="0.3">
      <c r="B176" s="35" t="s">
        <v>271</v>
      </c>
      <c r="C176" s="35" t="s">
        <v>181</v>
      </c>
      <c r="D176" s="35">
        <v>0</v>
      </c>
      <c r="E176" s="35">
        <v>0</v>
      </c>
      <c r="F176" s="35" t="s">
        <v>87</v>
      </c>
    </row>
    <row r="177" spans="2:6" x14ac:dyDescent="0.3">
      <c r="B177" s="35" t="s">
        <v>272</v>
      </c>
      <c r="C177" s="35" t="s">
        <v>147</v>
      </c>
      <c r="D177" s="35">
        <v>10000</v>
      </c>
      <c r="E177" s="35">
        <v>10000</v>
      </c>
      <c r="F177" s="35" t="s">
        <v>87</v>
      </c>
    </row>
    <row r="178" spans="2:6" x14ac:dyDescent="0.3">
      <c r="B178" s="35" t="s">
        <v>273</v>
      </c>
      <c r="C178" s="35" t="s">
        <v>149</v>
      </c>
      <c r="D178" s="35">
        <v>0</v>
      </c>
      <c r="E178" s="35">
        <v>0</v>
      </c>
      <c r="F178" s="35" t="s">
        <v>87</v>
      </c>
    </row>
    <row r="179" spans="2:6" x14ac:dyDescent="0.3">
      <c r="B179" s="35" t="s">
        <v>274</v>
      </c>
      <c r="C179" s="35" t="s">
        <v>151</v>
      </c>
      <c r="D179" s="35">
        <v>0</v>
      </c>
      <c r="E179" s="35">
        <v>0</v>
      </c>
      <c r="F179" s="35" t="s">
        <v>87</v>
      </c>
    </row>
    <row r="180" spans="2:6" x14ac:dyDescent="0.3">
      <c r="B180" s="35" t="s">
        <v>275</v>
      </c>
      <c r="C180" s="35" t="s">
        <v>153</v>
      </c>
      <c r="D180" s="35">
        <v>0</v>
      </c>
      <c r="E180" s="35">
        <v>0</v>
      </c>
      <c r="F180" s="35" t="s">
        <v>87</v>
      </c>
    </row>
    <row r="181" spans="2:6" x14ac:dyDescent="0.3">
      <c r="B181" s="35" t="s">
        <v>276</v>
      </c>
      <c r="C181" s="35" t="s">
        <v>155</v>
      </c>
      <c r="D181" s="35">
        <v>0</v>
      </c>
      <c r="E181" s="35">
        <v>0</v>
      </c>
      <c r="F181" s="35" t="s">
        <v>87</v>
      </c>
    </row>
    <row r="182" spans="2:6" x14ac:dyDescent="0.3">
      <c r="B182" s="35" t="s">
        <v>277</v>
      </c>
      <c r="C182" s="35" t="s">
        <v>157</v>
      </c>
      <c r="D182" s="35">
        <v>10000</v>
      </c>
      <c r="E182" s="35">
        <v>10000</v>
      </c>
      <c r="F182" s="35" t="s">
        <v>87</v>
      </c>
    </row>
    <row r="183" spans="2:6" x14ac:dyDescent="0.3">
      <c r="B183" s="35" t="s">
        <v>278</v>
      </c>
      <c r="C183" s="35" t="s">
        <v>159</v>
      </c>
      <c r="D183" s="35">
        <v>0</v>
      </c>
      <c r="E183" s="35">
        <v>0</v>
      </c>
      <c r="F183" s="35" t="s">
        <v>87</v>
      </c>
    </row>
    <row r="184" spans="2:6" x14ac:dyDescent="0.3">
      <c r="B184" s="35" t="s">
        <v>279</v>
      </c>
      <c r="C184" s="35" t="s">
        <v>161</v>
      </c>
      <c r="D184" s="35">
        <v>0</v>
      </c>
      <c r="E184" s="35">
        <v>0</v>
      </c>
      <c r="F184" s="35" t="s">
        <v>87</v>
      </c>
    </row>
    <row r="185" spans="2:6" x14ac:dyDescent="0.3">
      <c r="B185" s="35" t="s">
        <v>280</v>
      </c>
      <c r="C185" s="35" t="s">
        <v>163</v>
      </c>
      <c r="D185" s="35">
        <v>0</v>
      </c>
      <c r="E185" s="35">
        <v>0</v>
      </c>
      <c r="F185" s="35" t="s">
        <v>87</v>
      </c>
    </row>
    <row r="186" spans="2:6" x14ac:dyDescent="0.3">
      <c r="B186" s="35" t="s">
        <v>281</v>
      </c>
      <c r="C186" s="35" t="s">
        <v>165</v>
      </c>
      <c r="D186" s="35">
        <v>0</v>
      </c>
      <c r="E186" s="35">
        <v>0</v>
      </c>
      <c r="F186" s="35" t="s">
        <v>87</v>
      </c>
    </row>
    <row r="187" spans="2:6" x14ac:dyDescent="0.3">
      <c r="B187" s="35" t="s">
        <v>282</v>
      </c>
      <c r="C187" s="35" t="s">
        <v>167</v>
      </c>
      <c r="D187" s="35">
        <v>0</v>
      </c>
      <c r="E187" s="35">
        <v>0</v>
      </c>
      <c r="F187" s="35" t="s">
        <v>87</v>
      </c>
    </row>
    <row r="188" spans="2:6" x14ac:dyDescent="0.3">
      <c r="B188" s="35" t="s">
        <v>283</v>
      </c>
      <c r="C188" s="35" t="s">
        <v>169</v>
      </c>
      <c r="D188" s="35">
        <v>20000</v>
      </c>
      <c r="E188" s="35">
        <v>20000</v>
      </c>
      <c r="F188" s="35" t="s">
        <v>87</v>
      </c>
    </row>
    <row r="189" spans="2:6" x14ac:dyDescent="0.3">
      <c r="B189" s="35" t="s">
        <v>284</v>
      </c>
      <c r="C189" s="35" t="s">
        <v>171</v>
      </c>
      <c r="D189" s="35">
        <v>10000</v>
      </c>
      <c r="E189" s="35">
        <v>10000</v>
      </c>
      <c r="F189" s="35" t="s">
        <v>87</v>
      </c>
    </row>
    <row r="190" spans="2:6" x14ac:dyDescent="0.3">
      <c r="B190" s="35" t="s">
        <v>285</v>
      </c>
      <c r="C190" s="35" t="s">
        <v>173</v>
      </c>
      <c r="D190" s="35">
        <v>0</v>
      </c>
      <c r="E190" s="35">
        <v>0</v>
      </c>
      <c r="F190" s="35" t="s">
        <v>87</v>
      </c>
    </row>
    <row r="191" spans="2:6" x14ac:dyDescent="0.3">
      <c r="B191" s="35" t="s">
        <v>286</v>
      </c>
      <c r="C191" s="35" t="s">
        <v>175</v>
      </c>
      <c r="D191" s="35">
        <v>10000</v>
      </c>
      <c r="E191" s="35">
        <v>10000</v>
      </c>
      <c r="F191" s="35" t="s">
        <v>87</v>
      </c>
    </row>
    <row r="192" spans="2:6" x14ac:dyDescent="0.3">
      <c r="B192" s="35" t="s">
        <v>287</v>
      </c>
      <c r="C192" s="35" t="s">
        <v>177</v>
      </c>
      <c r="D192" s="35">
        <v>0</v>
      </c>
      <c r="E192" s="35">
        <v>0</v>
      </c>
      <c r="F192" s="35" t="s">
        <v>87</v>
      </c>
    </row>
    <row r="193" spans="2:6" x14ac:dyDescent="0.3">
      <c r="B193" s="35" t="s">
        <v>288</v>
      </c>
      <c r="C193" s="35" t="s">
        <v>179</v>
      </c>
      <c r="D193" s="35">
        <v>0</v>
      </c>
      <c r="E193" s="35">
        <v>0</v>
      </c>
      <c r="F193" s="35" t="s">
        <v>87</v>
      </c>
    </row>
    <row r="194" spans="2:6" x14ac:dyDescent="0.3">
      <c r="B194" s="35" t="s">
        <v>289</v>
      </c>
      <c r="C194" s="35" t="s">
        <v>181</v>
      </c>
      <c r="D194" s="35">
        <v>0</v>
      </c>
      <c r="E194" s="35">
        <v>0</v>
      </c>
      <c r="F194" s="35" t="s">
        <v>87</v>
      </c>
    </row>
    <row r="195" spans="2:6" x14ac:dyDescent="0.3">
      <c r="B195" s="35" t="s">
        <v>290</v>
      </c>
      <c r="C195" s="35" t="s">
        <v>147</v>
      </c>
      <c r="D195" s="35">
        <v>0</v>
      </c>
      <c r="E195" s="35">
        <v>0</v>
      </c>
      <c r="F195" s="35" t="s">
        <v>87</v>
      </c>
    </row>
    <row r="196" spans="2:6" x14ac:dyDescent="0.3">
      <c r="B196" s="35" t="s">
        <v>291</v>
      </c>
      <c r="C196" s="35" t="s">
        <v>149</v>
      </c>
      <c r="D196" s="35">
        <v>27500</v>
      </c>
      <c r="E196" s="35">
        <v>27500</v>
      </c>
      <c r="F196" s="35" t="s">
        <v>87</v>
      </c>
    </row>
    <row r="197" spans="2:6" x14ac:dyDescent="0.3">
      <c r="B197" s="35" t="s">
        <v>292</v>
      </c>
      <c r="C197" s="35" t="s">
        <v>151</v>
      </c>
      <c r="D197" s="35">
        <v>5000</v>
      </c>
      <c r="E197" s="35">
        <v>5000</v>
      </c>
      <c r="F197" s="35" t="s">
        <v>87</v>
      </c>
    </row>
    <row r="198" spans="2:6" x14ac:dyDescent="0.3">
      <c r="B198" s="35" t="s">
        <v>293</v>
      </c>
      <c r="C198" s="35" t="s">
        <v>153</v>
      </c>
      <c r="D198" s="35">
        <v>0</v>
      </c>
      <c r="E198" s="35">
        <v>0</v>
      </c>
      <c r="F198" s="35" t="s">
        <v>87</v>
      </c>
    </row>
    <row r="199" spans="2:6" x14ac:dyDescent="0.3">
      <c r="B199" s="35" t="s">
        <v>294</v>
      </c>
      <c r="C199" s="35" t="s">
        <v>155</v>
      </c>
      <c r="D199" s="35">
        <v>0</v>
      </c>
      <c r="E199" s="35">
        <v>0</v>
      </c>
      <c r="F199" s="35" t="s">
        <v>87</v>
      </c>
    </row>
    <row r="200" spans="2:6" x14ac:dyDescent="0.3">
      <c r="B200" s="35" t="s">
        <v>295</v>
      </c>
      <c r="C200" s="35" t="s">
        <v>157</v>
      </c>
      <c r="D200" s="35">
        <v>0</v>
      </c>
      <c r="E200" s="35">
        <v>0</v>
      </c>
      <c r="F200" s="35" t="s">
        <v>87</v>
      </c>
    </row>
    <row r="201" spans="2:6" x14ac:dyDescent="0.3">
      <c r="B201" s="35" t="s">
        <v>296</v>
      </c>
      <c r="C201" s="35" t="s">
        <v>159</v>
      </c>
      <c r="D201" s="35">
        <v>0</v>
      </c>
      <c r="E201" s="35">
        <v>0</v>
      </c>
      <c r="F201" s="35" t="s">
        <v>87</v>
      </c>
    </row>
    <row r="202" spans="2:6" x14ac:dyDescent="0.3">
      <c r="B202" s="35" t="s">
        <v>297</v>
      </c>
      <c r="C202" s="35" t="s">
        <v>161</v>
      </c>
      <c r="D202" s="35">
        <v>0</v>
      </c>
      <c r="E202" s="35">
        <v>0</v>
      </c>
      <c r="F202" s="35" t="s">
        <v>87</v>
      </c>
    </row>
    <row r="203" spans="2:6" x14ac:dyDescent="0.3">
      <c r="B203" s="35" t="s">
        <v>298</v>
      </c>
      <c r="C203" s="35" t="s">
        <v>163</v>
      </c>
      <c r="D203" s="35">
        <v>0</v>
      </c>
      <c r="E203" s="35">
        <v>0</v>
      </c>
      <c r="F203" s="35" t="s">
        <v>87</v>
      </c>
    </row>
    <row r="204" spans="2:6" x14ac:dyDescent="0.3">
      <c r="B204" s="35" t="s">
        <v>299</v>
      </c>
      <c r="C204" s="35" t="s">
        <v>165</v>
      </c>
      <c r="D204" s="35">
        <v>0</v>
      </c>
      <c r="E204" s="35">
        <v>0</v>
      </c>
      <c r="F204" s="35" t="s">
        <v>87</v>
      </c>
    </row>
    <row r="205" spans="2:6" x14ac:dyDescent="0.3">
      <c r="B205" s="35" t="s">
        <v>300</v>
      </c>
      <c r="C205" s="35" t="s">
        <v>167</v>
      </c>
      <c r="D205" s="35">
        <v>0</v>
      </c>
      <c r="E205" s="35">
        <v>0</v>
      </c>
      <c r="F205" s="35" t="s">
        <v>87</v>
      </c>
    </row>
    <row r="206" spans="2:6" x14ac:dyDescent="0.3">
      <c r="B206" s="35" t="s">
        <v>301</v>
      </c>
      <c r="C206" s="35" t="s">
        <v>169</v>
      </c>
      <c r="D206" s="35">
        <v>12500</v>
      </c>
      <c r="E206" s="35">
        <v>12500</v>
      </c>
      <c r="F206" s="35" t="s">
        <v>87</v>
      </c>
    </row>
    <row r="207" spans="2:6" x14ac:dyDescent="0.3">
      <c r="B207" s="35" t="s">
        <v>302</v>
      </c>
      <c r="C207" s="35" t="s">
        <v>171</v>
      </c>
      <c r="D207" s="35">
        <v>0</v>
      </c>
      <c r="E207" s="35">
        <v>0</v>
      </c>
      <c r="F207" s="35" t="s">
        <v>87</v>
      </c>
    </row>
    <row r="208" spans="2:6" x14ac:dyDescent="0.3">
      <c r="B208" s="35" t="s">
        <v>303</v>
      </c>
      <c r="C208" s="35" t="s">
        <v>173</v>
      </c>
      <c r="D208" s="35">
        <v>0</v>
      </c>
      <c r="E208" s="35">
        <v>0</v>
      </c>
      <c r="F208" s="35" t="s">
        <v>87</v>
      </c>
    </row>
    <row r="209" spans="1:7" x14ac:dyDescent="0.3">
      <c r="B209" s="35" t="s">
        <v>304</v>
      </c>
      <c r="C209" s="35" t="s">
        <v>175</v>
      </c>
      <c r="D209" s="35">
        <v>2500</v>
      </c>
      <c r="E209" s="35">
        <v>2500</v>
      </c>
      <c r="F209" s="35" t="s">
        <v>87</v>
      </c>
    </row>
    <row r="210" spans="1:7" x14ac:dyDescent="0.3">
      <c r="B210" s="35" t="s">
        <v>305</v>
      </c>
      <c r="C210" s="35" t="s">
        <v>177</v>
      </c>
      <c r="D210" s="35">
        <v>0</v>
      </c>
      <c r="E210" s="35">
        <v>0</v>
      </c>
      <c r="F210" s="35" t="s">
        <v>87</v>
      </c>
    </row>
    <row r="211" spans="1:7" x14ac:dyDescent="0.3">
      <c r="B211" s="35" t="s">
        <v>306</v>
      </c>
      <c r="C211" s="35" t="s">
        <v>179</v>
      </c>
      <c r="D211" s="35">
        <v>0</v>
      </c>
      <c r="E211" s="35">
        <v>0</v>
      </c>
      <c r="F211" s="35" t="s">
        <v>87</v>
      </c>
    </row>
    <row r="212" spans="1:7" ht="15" thickBot="1" x14ac:dyDescent="0.35">
      <c r="B212" s="33" t="s">
        <v>307</v>
      </c>
      <c r="C212" s="33" t="s">
        <v>181</v>
      </c>
      <c r="D212" s="33">
        <v>30000</v>
      </c>
      <c r="E212" s="33">
        <v>30000</v>
      </c>
      <c r="F212" s="33" t="s">
        <v>87</v>
      </c>
    </row>
    <row r="215" spans="1:7" ht="15" thickBot="1" x14ac:dyDescent="0.35">
      <c r="A215" t="s">
        <v>308</v>
      </c>
    </row>
    <row r="216" spans="1:7" ht="15" thickBot="1" x14ac:dyDescent="0.35">
      <c r="B216" s="34" t="s">
        <v>77</v>
      </c>
      <c r="C216" s="34" t="s">
        <v>78</v>
      </c>
      <c r="D216" s="34" t="s">
        <v>309</v>
      </c>
      <c r="E216" s="34" t="s">
        <v>310</v>
      </c>
      <c r="F216" s="34" t="s">
        <v>311</v>
      </c>
      <c r="G216" s="34" t="s">
        <v>312</v>
      </c>
    </row>
    <row r="217" spans="1:7" x14ac:dyDescent="0.3">
      <c r="B217" s="35" t="s">
        <v>569</v>
      </c>
      <c r="C217" s="35" t="s">
        <v>48</v>
      </c>
      <c r="D217" s="35">
        <v>10000</v>
      </c>
      <c r="E217" s="35" t="s">
        <v>570</v>
      </c>
      <c r="F217" s="35" t="s">
        <v>315</v>
      </c>
      <c r="G217" s="35">
        <v>0</v>
      </c>
    </row>
    <row r="218" spans="1:7" x14ac:dyDescent="0.3">
      <c r="B218" s="35" t="s">
        <v>571</v>
      </c>
      <c r="C218" s="35" t="s">
        <v>48</v>
      </c>
      <c r="D218" s="35">
        <v>7500</v>
      </c>
      <c r="E218" s="35" t="s">
        <v>572</v>
      </c>
      <c r="F218" s="35" t="s">
        <v>315</v>
      </c>
      <c r="G218" s="35">
        <v>0</v>
      </c>
    </row>
    <row r="219" spans="1:7" x14ac:dyDescent="0.3">
      <c r="B219" s="35" t="s">
        <v>313</v>
      </c>
      <c r="C219" s="35" t="s">
        <v>48</v>
      </c>
      <c r="D219" s="35">
        <v>10000</v>
      </c>
      <c r="E219" s="35" t="s">
        <v>314</v>
      </c>
      <c r="F219" s="35" t="s">
        <v>315</v>
      </c>
      <c r="G219" s="35">
        <v>0</v>
      </c>
    </row>
    <row r="220" spans="1:7" x14ac:dyDescent="0.3">
      <c r="B220" s="35" t="s">
        <v>316</v>
      </c>
      <c r="C220" s="35" t="s">
        <v>48</v>
      </c>
      <c r="D220" s="35">
        <v>27500</v>
      </c>
      <c r="E220" s="35" t="s">
        <v>317</v>
      </c>
      <c r="F220" s="35" t="s">
        <v>315</v>
      </c>
      <c r="G220" s="35">
        <v>0</v>
      </c>
    </row>
    <row r="221" spans="1:7" x14ac:dyDescent="0.3">
      <c r="B221" s="35" t="s">
        <v>318</v>
      </c>
      <c r="C221" s="35" t="s">
        <v>48</v>
      </c>
      <c r="D221" s="35">
        <v>12500</v>
      </c>
      <c r="E221" s="35" t="s">
        <v>319</v>
      </c>
      <c r="F221" s="35" t="s">
        <v>315</v>
      </c>
      <c r="G221" s="35">
        <v>0</v>
      </c>
    </row>
    <row r="222" spans="1:7" x14ac:dyDescent="0.3">
      <c r="B222" s="35" t="s">
        <v>320</v>
      </c>
      <c r="C222" s="35" t="s">
        <v>48</v>
      </c>
      <c r="D222" s="35">
        <v>22500</v>
      </c>
      <c r="E222" s="35" t="s">
        <v>321</v>
      </c>
      <c r="F222" s="35" t="s">
        <v>315</v>
      </c>
      <c r="G222" s="35">
        <v>0</v>
      </c>
    </row>
    <row r="223" spans="1:7" x14ac:dyDescent="0.3">
      <c r="B223" s="35" t="s">
        <v>322</v>
      </c>
      <c r="C223" s="35" t="s">
        <v>48</v>
      </c>
      <c r="D223" s="35">
        <v>25000</v>
      </c>
      <c r="E223" s="35" t="s">
        <v>323</v>
      </c>
      <c r="F223" s="35" t="s">
        <v>315</v>
      </c>
      <c r="G223" s="35">
        <v>0</v>
      </c>
    </row>
    <row r="224" spans="1:7" x14ac:dyDescent="0.3">
      <c r="B224" s="35" t="s">
        <v>324</v>
      </c>
      <c r="C224" s="35" t="s">
        <v>48</v>
      </c>
      <c r="D224" s="35">
        <v>25000</v>
      </c>
      <c r="E224" s="35" t="s">
        <v>325</v>
      </c>
      <c r="F224" s="35" t="s">
        <v>315</v>
      </c>
      <c r="G224" s="35">
        <v>0</v>
      </c>
    </row>
    <row r="225" spans="2:7" x14ac:dyDescent="0.3">
      <c r="B225" s="35" t="s">
        <v>326</v>
      </c>
      <c r="C225" s="35" t="s">
        <v>48</v>
      </c>
      <c r="D225" s="35">
        <v>25000</v>
      </c>
      <c r="E225" s="35" t="s">
        <v>327</v>
      </c>
      <c r="F225" s="35" t="s">
        <v>315</v>
      </c>
      <c r="G225" s="35">
        <v>0</v>
      </c>
    </row>
    <row r="226" spans="2:7" x14ac:dyDescent="0.3">
      <c r="B226" s="35" t="s">
        <v>328</v>
      </c>
      <c r="C226" s="35" t="s">
        <v>48</v>
      </c>
      <c r="D226" s="35">
        <v>32500</v>
      </c>
      <c r="E226" s="35" t="s">
        <v>329</v>
      </c>
      <c r="F226" s="35" t="s">
        <v>315</v>
      </c>
      <c r="G226" s="35">
        <v>0</v>
      </c>
    </row>
    <row r="227" spans="2:7" x14ac:dyDescent="0.3">
      <c r="B227" s="35" t="s">
        <v>330</v>
      </c>
      <c r="C227" s="35" t="s">
        <v>48</v>
      </c>
      <c r="D227" s="35">
        <v>32500</v>
      </c>
      <c r="E227" s="35" t="s">
        <v>331</v>
      </c>
      <c r="F227" s="35" t="s">
        <v>315</v>
      </c>
      <c r="G227" s="35">
        <v>0</v>
      </c>
    </row>
    <row r="228" spans="2:7" x14ac:dyDescent="0.3">
      <c r="B228" s="35" t="s">
        <v>332</v>
      </c>
      <c r="C228" s="35" t="s">
        <v>48</v>
      </c>
      <c r="D228" s="35">
        <v>35000</v>
      </c>
      <c r="E228" s="35" t="s">
        <v>333</v>
      </c>
      <c r="F228" s="35" t="s">
        <v>315</v>
      </c>
      <c r="G228" s="35">
        <v>0</v>
      </c>
    </row>
    <row r="229" spans="2:7" x14ac:dyDescent="0.3">
      <c r="B229" s="35" t="s">
        <v>334</v>
      </c>
      <c r="C229" s="35" t="s">
        <v>48</v>
      </c>
      <c r="D229" s="35">
        <v>27500</v>
      </c>
      <c r="E229" s="35" t="s">
        <v>335</v>
      </c>
      <c r="F229" s="35" t="s">
        <v>315</v>
      </c>
      <c r="G229" s="35">
        <v>0</v>
      </c>
    </row>
    <row r="230" spans="2:7" x14ac:dyDescent="0.3">
      <c r="B230" s="35" t="s">
        <v>336</v>
      </c>
      <c r="C230" s="35" t="s">
        <v>48</v>
      </c>
      <c r="D230" s="35">
        <v>27500</v>
      </c>
      <c r="E230" s="35" t="s">
        <v>337</v>
      </c>
      <c r="F230" s="35" t="s">
        <v>315</v>
      </c>
      <c r="G230" s="35">
        <v>0</v>
      </c>
    </row>
    <row r="231" spans="2:7" x14ac:dyDescent="0.3">
      <c r="B231" s="35" t="s">
        <v>338</v>
      </c>
      <c r="C231" s="35" t="s">
        <v>48</v>
      </c>
      <c r="D231" s="35">
        <v>30000</v>
      </c>
      <c r="E231" s="35" t="s">
        <v>339</v>
      </c>
      <c r="F231" s="35" t="s">
        <v>315</v>
      </c>
      <c r="G231" s="35">
        <v>0</v>
      </c>
    </row>
    <row r="232" spans="2:7" x14ac:dyDescent="0.3">
      <c r="B232" s="35" t="s">
        <v>340</v>
      </c>
      <c r="C232" s="35" t="s">
        <v>48</v>
      </c>
      <c r="D232" s="35">
        <v>30000</v>
      </c>
      <c r="E232" s="35" t="s">
        <v>341</v>
      </c>
      <c r="F232" s="35" t="s">
        <v>315</v>
      </c>
      <c r="G232" s="35">
        <v>0</v>
      </c>
    </row>
    <row r="233" spans="2:7" x14ac:dyDescent="0.3">
      <c r="B233" s="35" t="s">
        <v>342</v>
      </c>
      <c r="C233" s="35" t="s">
        <v>48</v>
      </c>
      <c r="D233" s="35">
        <v>32500</v>
      </c>
      <c r="E233" s="35" t="s">
        <v>343</v>
      </c>
      <c r="F233" s="35" t="s">
        <v>315</v>
      </c>
      <c r="G233" s="35">
        <v>0</v>
      </c>
    </row>
    <row r="234" spans="2:7" x14ac:dyDescent="0.3">
      <c r="B234" s="35" t="s">
        <v>344</v>
      </c>
      <c r="C234" s="35" t="s">
        <v>48</v>
      </c>
      <c r="D234" s="35">
        <v>55000</v>
      </c>
      <c r="E234" s="35" t="s">
        <v>345</v>
      </c>
      <c r="F234" s="35" t="s">
        <v>315</v>
      </c>
      <c r="G234" s="35">
        <v>0</v>
      </c>
    </row>
    <row r="235" spans="2:7" x14ac:dyDescent="0.3">
      <c r="B235" s="35" t="s">
        <v>346</v>
      </c>
      <c r="C235" s="35" t="s">
        <v>347</v>
      </c>
      <c r="D235" s="35">
        <v>27500</v>
      </c>
      <c r="E235" s="35" t="s">
        <v>348</v>
      </c>
      <c r="F235" s="35" t="s">
        <v>349</v>
      </c>
      <c r="G235" s="35">
        <v>5000</v>
      </c>
    </row>
    <row r="236" spans="2:7" x14ac:dyDescent="0.3">
      <c r="B236" s="35" t="s">
        <v>350</v>
      </c>
      <c r="C236" s="35" t="s">
        <v>351</v>
      </c>
      <c r="D236" s="35">
        <v>32500</v>
      </c>
      <c r="E236" s="35" t="s">
        <v>352</v>
      </c>
      <c r="F236" s="35" t="s">
        <v>315</v>
      </c>
      <c r="G236" s="35">
        <v>0</v>
      </c>
    </row>
    <row r="237" spans="2:7" x14ac:dyDescent="0.3">
      <c r="B237" s="35" t="s">
        <v>353</v>
      </c>
      <c r="C237" s="35" t="s">
        <v>354</v>
      </c>
      <c r="D237" s="35">
        <v>32500</v>
      </c>
      <c r="E237" s="35" t="s">
        <v>355</v>
      </c>
      <c r="F237" s="35" t="s">
        <v>315</v>
      </c>
      <c r="G237" s="35">
        <v>0</v>
      </c>
    </row>
    <row r="238" spans="2:7" x14ac:dyDescent="0.3">
      <c r="B238" s="35" t="s">
        <v>356</v>
      </c>
      <c r="C238" s="35" t="s">
        <v>347</v>
      </c>
      <c r="D238" s="35">
        <v>25000</v>
      </c>
      <c r="E238" s="35" t="s">
        <v>357</v>
      </c>
      <c r="F238" s="35" t="s">
        <v>315</v>
      </c>
      <c r="G238" s="35">
        <v>0</v>
      </c>
    </row>
    <row r="239" spans="2:7" x14ac:dyDescent="0.3">
      <c r="B239" s="35" t="s">
        <v>358</v>
      </c>
      <c r="C239" s="35" t="s">
        <v>351</v>
      </c>
      <c r="D239" s="35">
        <v>25000</v>
      </c>
      <c r="E239" s="35" t="s">
        <v>359</v>
      </c>
      <c r="F239" s="35" t="s">
        <v>315</v>
      </c>
      <c r="G239" s="35">
        <v>0</v>
      </c>
    </row>
    <row r="240" spans="2:7" x14ac:dyDescent="0.3">
      <c r="B240" s="35" t="s">
        <v>360</v>
      </c>
      <c r="C240" s="35" t="s">
        <v>354</v>
      </c>
      <c r="D240" s="35">
        <v>25000</v>
      </c>
      <c r="E240" s="35" t="s">
        <v>361</v>
      </c>
      <c r="F240" s="35" t="s">
        <v>315</v>
      </c>
      <c r="G240" s="35">
        <v>0</v>
      </c>
    </row>
    <row r="241" spans="2:7" x14ac:dyDescent="0.3">
      <c r="B241" s="35" t="s">
        <v>362</v>
      </c>
      <c r="C241" s="35" t="s">
        <v>347</v>
      </c>
      <c r="D241" s="35">
        <v>20000</v>
      </c>
      <c r="E241" s="35" t="s">
        <v>363</v>
      </c>
      <c r="F241" s="35" t="s">
        <v>315</v>
      </c>
      <c r="G241" s="35">
        <v>0</v>
      </c>
    </row>
    <row r="242" spans="2:7" x14ac:dyDescent="0.3">
      <c r="B242" s="35" t="s">
        <v>364</v>
      </c>
      <c r="C242" s="35" t="s">
        <v>351</v>
      </c>
      <c r="D242" s="35">
        <v>20000</v>
      </c>
      <c r="E242" s="35" t="s">
        <v>365</v>
      </c>
      <c r="F242" s="35" t="s">
        <v>315</v>
      </c>
      <c r="G242" s="35">
        <v>0</v>
      </c>
    </row>
    <row r="243" spans="2:7" x14ac:dyDescent="0.3">
      <c r="B243" s="35" t="s">
        <v>366</v>
      </c>
      <c r="C243" s="35" t="s">
        <v>354</v>
      </c>
      <c r="D243" s="35">
        <v>20000</v>
      </c>
      <c r="E243" s="35" t="s">
        <v>367</v>
      </c>
      <c r="F243" s="35" t="s">
        <v>315</v>
      </c>
      <c r="G243" s="35">
        <v>0</v>
      </c>
    </row>
    <row r="244" spans="2:7" x14ac:dyDescent="0.3">
      <c r="B244" s="35" t="s">
        <v>368</v>
      </c>
      <c r="C244" s="35" t="s">
        <v>347</v>
      </c>
      <c r="D244" s="35">
        <v>32500</v>
      </c>
      <c r="E244" s="35" t="s">
        <v>369</v>
      </c>
      <c r="F244" s="35" t="s">
        <v>315</v>
      </c>
      <c r="G244" s="35">
        <v>0</v>
      </c>
    </row>
    <row r="245" spans="2:7" x14ac:dyDescent="0.3">
      <c r="B245" s="35" t="s">
        <v>370</v>
      </c>
      <c r="C245" s="35" t="s">
        <v>351</v>
      </c>
      <c r="D245" s="35">
        <v>12500</v>
      </c>
      <c r="E245" s="35" t="s">
        <v>371</v>
      </c>
      <c r="F245" s="35" t="s">
        <v>349</v>
      </c>
      <c r="G245" s="35">
        <v>20000</v>
      </c>
    </row>
    <row r="246" spans="2:7" x14ac:dyDescent="0.3">
      <c r="B246" s="35" t="s">
        <v>372</v>
      </c>
      <c r="C246" s="35" t="s">
        <v>354</v>
      </c>
      <c r="D246" s="35">
        <v>32500</v>
      </c>
      <c r="E246" s="35" t="s">
        <v>373</v>
      </c>
      <c r="F246" s="35" t="s">
        <v>315</v>
      </c>
      <c r="G246" s="35">
        <v>0</v>
      </c>
    </row>
    <row r="247" spans="2:7" x14ac:dyDescent="0.3">
      <c r="B247" s="35" t="s">
        <v>346</v>
      </c>
      <c r="C247" s="35" t="s">
        <v>347</v>
      </c>
      <c r="D247" s="35">
        <v>27500</v>
      </c>
      <c r="E247" s="35" t="s">
        <v>374</v>
      </c>
      <c r="F247" s="35" t="s">
        <v>315</v>
      </c>
      <c r="G247" s="35">
        <v>0</v>
      </c>
    </row>
    <row r="248" spans="2:7" x14ac:dyDescent="0.3">
      <c r="B248" s="35" t="s">
        <v>350</v>
      </c>
      <c r="C248" s="35" t="s">
        <v>351</v>
      </c>
      <c r="D248" s="35">
        <v>32500</v>
      </c>
      <c r="E248" s="35" t="s">
        <v>375</v>
      </c>
      <c r="F248" s="35" t="s">
        <v>315</v>
      </c>
      <c r="G248" s="35">
        <v>0</v>
      </c>
    </row>
    <row r="249" spans="2:7" x14ac:dyDescent="0.3">
      <c r="B249" s="35" t="s">
        <v>353</v>
      </c>
      <c r="C249" s="35" t="s">
        <v>354</v>
      </c>
      <c r="D249" s="35">
        <v>32500</v>
      </c>
      <c r="E249" s="35" t="s">
        <v>376</v>
      </c>
      <c r="F249" s="35" t="s">
        <v>315</v>
      </c>
      <c r="G249" s="35">
        <v>0</v>
      </c>
    </row>
    <row r="250" spans="2:7" x14ac:dyDescent="0.3">
      <c r="B250" s="35" t="s">
        <v>356</v>
      </c>
      <c r="C250" s="35" t="s">
        <v>347</v>
      </c>
      <c r="D250" s="35">
        <v>25000</v>
      </c>
      <c r="E250" s="35" t="s">
        <v>377</v>
      </c>
      <c r="F250" s="35" t="s">
        <v>315</v>
      </c>
      <c r="G250" s="35">
        <v>0</v>
      </c>
    </row>
    <row r="251" spans="2:7" x14ac:dyDescent="0.3">
      <c r="B251" s="35" t="s">
        <v>358</v>
      </c>
      <c r="C251" s="35" t="s">
        <v>351</v>
      </c>
      <c r="D251" s="35">
        <v>25000</v>
      </c>
      <c r="E251" s="35" t="s">
        <v>378</v>
      </c>
      <c r="F251" s="35" t="s">
        <v>315</v>
      </c>
      <c r="G251" s="35">
        <v>0</v>
      </c>
    </row>
    <row r="252" spans="2:7" x14ac:dyDescent="0.3">
      <c r="B252" s="35" t="s">
        <v>360</v>
      </c>
      <c r="C252" s="35" t="s">
        <v>354</v>
      </c>
      <c r="D252" s="35">
        <v>25000</v>
      </c>
      <c r="E252" s="35" t="s">
        <v>379</v>
      </c>
      <c r="F252" s="35" t="s">
        <v>315</v>
      </c>
      <c r="G252" s="35">
        <v>0</v>
      </c>
    </row>
    <row r="253" spans="2:7" x14ac:dyDescent="0.3">
      <c r="B253" s="35" t="s">
        <v>362</v>
      </c>
      <c r="C253" s="35" t="s">
        <v>347</v>
      </c>
      <c r="D253" s="35">
        <v>20000</v>
      </c>
      <c r="E253" s="35" t="s">
        <v>380</v>
      </c>
      <c r="F253" s="35" t="s">
        <v>315</v>
      </c>
      <c r="G253" s="35">
        <v>0</v>
      </c>
    </row>
    <row r="254" spans="2:7" x14ac:dyDescent="0.3">
      <c r="B254" s="35" t="s">
        <v>364</v>
      </c>
      <c r="C254" s="35" t="s">
        <v>351</v>
      </c>
      <c r="D254" s="35">
        <v>20000</v>
      </c>
      <c r="E254" s="35" t="s">
        <v>381</v>
      </c>
      <c r="F254" s="35" t="s">
        <v>315</v>
      </c>
      <c r="G254" s="35">
        <v>0</v>
      </c>
    </row>
    <row r="255" spans="2:7" x14ac:dyDescent="0.3">
      <c r="B255" s="35" t="s">
        <v>366</v>
      </c>
      <c r="C255" s="35" t="s">
        <v>354</v>
      </c>
      <c r="D255" s="35">
        <v>20000</v>
      </c>
      <c r="E255" s="35" t="s">
        <v>382</v>
      </c>
      <c r="F255" s="35" t="s">
        <v>315</v>
      </c>
      <c r="G255" s="35">
        <v>0</v>
      </c>
    </row>
    <row r="256" spans="2:7" x14ac:dyDescent="0.3">
      <c r="B256" s="35" t="s">
        <v>368</v>
      </c>
      <c r="C256" s="35" t="s">
        <v>347</v>
      </c>
      <c r="D256" s="35">
        <v>32500</v>
      </c>
      <c r="E256" s="35" t="s">
        <v>383</v>
      </c>
      <c r="F256" s="35" t="s">
        <v>315</v>
      </c>
      <c r="G256" s="35">
        <v>0</v>
      </c>
    </row>
    <row r="257" spans="2:7" x14ac:dyDescent="0.3">
      <c r="B257" s="35" t="s">
        <v>370</v>
      </c>
      <c r="C257" s="35" t="s">
        <v>351</v>
      </c>
      <c r="D257" s="35">
        <v>12500</v>
      </c>
      <c r="E257" s="35" t="s">
        <v>384</v>
      </c>
      <c r="F257" s="35" t="s">
        <v>315</v>
      </c>
      <c r="G257" s="35">
        <v>0</v>
      </c>
    </row>
    <row r="258" spans="2:7" x14ac:dyDescent="0.3">
      <c r="B258" s="35" t="s">
        <v>372</v>
      </c>
      <c r="C258" s="35" t="s">
        <v>354</v>
      </c>
      <c r="D258" s="35">
        <v>32500</v>
      </c>
      <c r="E258" s="35" t="s">
        <v>385</v>
      </c>
      <c r="F258" s="35" t="s">
        <v>315</v>
      </c>
      <c r="G258" s="35">
        <v>0</v>
      </c>
    </row>
    <row r="259" spans="2:7" x14ac:dyDescent="0.3">
      <c r="B259" s="35" t="s">
        <v>386</v>
      </c>
      <c r="C259" s="35" t="s">
        <v>387</v>
      </c>
      <c r="D259" s="35">
        <v>47500</v>
      </c>
      <c r="E259" s="35" t="s">
        <v>388</v>
      </c>
      <c r="F259" s="35" t="s">
        <v>349</v>
      </c>
      <c r="G259" s="35">
        <v>2500</v>
      </c>
    </row>
    <row r="260" spans="2:7" x14ac:dyDescent="0.3">
      <c r="B260" s="35" t="s">
        <v>389</v>
      </c>
      <c r="C260" s="35" t="s">
        <v>390</v>
      </c>
      <c r="D260" s="35">
        <v>47500</v>
      </c>
      <c r="E260" s="35" t="s">
        <v>391</v>
      </c>
      <c r="F260" s="35" t="s">
        <v>315</v>
      </c>
      <c r="G260" s="35">
        <v>0</v>
      </c>
    </row>
    <row r="261" spans="2:7" x14ac:dyDescent="0.3">
      <c r="B261" s="35" t="s">
        <v>392</v>
      </c>
      <c r="C261" s="35" t="s">
        <v>393</v>
      </c>
      <c r="D261" s="35">
        <v>47500</v>
      </c>
      <c r="E261" s="35" t="s">
        <v>394</v>
      </c>
      <c r="F261" s="35" t="s">
        <v>315</v>
      </c>
      <c r="G261" s="35">
        <v>0</v>
      </c>
    </row>
    <row r="262" spans="2:7" x14ac:dyDescent="0.3">
      <c r="B262" s="35" t="s">
        <v>395</v>
      </c>
      <c r="C262" s="35" t="s">
        <v>387</v>
      </c>
      <c r="D262" s="35">
        <v>0</v>
      </c>
      <c r="E262" s="35" t="s">
        <v>396</v>
      </c>
      <c r="F262" s="35" t="s">
        <v>349</v>
      </c>
      <c r="G262" s="35">
        <v>37500</v>
      </c>
    </row>
    <row r="263" spans="2:7" x14ac:dyDescent="0.3">
      <c r="B263" s="35" t="s">
        <v>397</v>
      </c>
      <c r="C263" s="35" t="s">
        <v>390</v>
      </c>
      <c r="D263" s="35">
        <v>0</v>
      </c>
      <c r="E263" s="35" t="s">
        <v>398</v>
      </c>
      <c r="F263" s="35" t="s">
        <v>349</v>
      </c>
      <c r="G263" s="35">
        <v>30000</v>
      </c>
    </row>
    <row r="264" spans="2:7" x14ac:dyDescent="0.3">
      <c r="B264" s="35" t="s">
        <v>399</v>
      </c>
      <c r="C264" s="35" t="s">
        <v>393</v>
      </c>
      <c r="D264" s="35">
        <v>0</v>
      </c>
      <c r="E264" s="35" t="s">
        <v>400</v>
      </c>
      <c r="F264" s="35" t="s">
        <v>349</v>
      </c>
      <c r="G264" s="35">
        <v>30000</v>
      </c>
    </row>
    <row r="265" spans="2:7" x14ac:dyDescent="0.3">
      <c r="B265" s="35" t="s">
        <v>401</v>
      </c>
      <c r="C265" s="35" t="s">
        <v>387</v>
      </c>
      <c r="D265" s="35">
        <v>77500</v>
      </c>
      <c r="E265" s="35" t="s">
        <v>402</v>
      </c>
      <c r="F265" s="35" t="s">
        <v>349</v>
      </c>
      <c r="G265" s="35">
        <v>22500</v>
      </c>
    </row>
    <row r="266" spans="2:7" x14ac:dyDescent="0.3">
      <c r="B266" s="35" t="s">
        <v>403</v>
      </c>
      <c r="C266" s="35" t="s">
        <v>390</v>
      </c>
      <c r="D266" s="35">
        <v>65000</v>
      </c>
      <c r="E266" s="35" t="s">
        <v>404</v>
      </c>
      <c r="F266" s="35" t="s">
        <v>349</v>
      </c>
      <c r="G266" s="35">
        <v>32500</v>
      </c>
    </row>
    <row r="267" spans="2:7" x14ac:dyDescent="0.3">
      <c r="B267" s="35" t="s">
        <v>405</v>
      </c>
      <c r="C267" s="35" t="s">
        <v>393</v>
      </c>
      <c r="D267" s="35">
        <v>72500</v>
      </c>
      <c r="E267" s="35" t="s">
        <v>406</v>
      </c>
      <c r="F267" s="35" t="s">
        <v>349</v>
      </c>
      <c r="G267" s="35">
        <v>27500</v>
      </c>
    </row>
    <row r="268" spans="2:7" x14ac:dyDescent="0.3">
      <c r="B268" s="35" t="s">
        <v>407</v>
      </c>
      <c r="C268" s="35" t="s">
        <v>387</v>
      </c>
      <c r="D268" s="35">
        <v>27500</v>
      </c>
      <c r="E268" s="35" t="s">
        <v>408</v>
      </c>
      <c r="F268" s="35" t="s">
        <v>349</v>
      </c>
      <c r="G268" s="35">
        <v>17500</v>
      </c>
    </row>
    <row r="269" spans="2:7" x14ac:dyDescent="0.3">
      <c r="B269" s="35" t="s">
        <v>409</v>
      </c>
      <c r="C269" s="35" t="s">
        <v>390</v>
      </c>
      <c r="D269" s="35">
        <v>25000</v>
      </c>
      <c r="E269" s="35" t="s">
        <v>410</v>
      </c>
      <c r="F269" s="35" t="s">
        <v>349</v>
      </c>
      <c r="G269" s="35">
        <v>15000</v>
      </c>
    </row>
    <row r="270" spans="2:7" ht="15" thickBot="1" x14ac:dyDescent="0.35">
      <c r="B270" s="33" t="s">
        <v>411</v>
      </c>
      <c r="C270" s="33" t="s">
        <v>393</v>
      </c>
      <c r="D270" s="33">
        <v>45000</v>
      </c>
      <c r="E270" s="33" t="s">
        <v>412</v>
      </c>
      <c r="F270" s="33" t="s">
        <v>349</v>
      </c>
      <c r="G270" s="33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33E8-049D-4812-9BCA-005D32C1D286}">
  <dimension ref="A1:H258"/>
  <sheetViews>
    <sheetView showGridLines="0" workbookViewId="0">
      <selection activeCell="K196" sqref="K196"/>
    </sheetView>
  </sheetViews>
  <sheetFormatPr defaultRowHeight="14.4" x14ac:dyDescent="0.3"/>
  <cols>
    <col min="1" max="1" width="2.33203125" customWidth="1"/>
    <col min="2" max="2" width="7.21875" bestFit="1" customWidth="1"/>
    <col min="3" max="3" width="39.109375" bestFit="1" customWidth="1"/>
    <col min="4" max="4" width="6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19" t="s">
        <v>577</v>
      </c>
    </row>
    <row r="2" spans="1:8" x14ac:dyDescent="0.3">
      <c r="A2" s="19" t="s">
        <v>573</v>
      </c>
    </row>
    <row r="3" spans="1:8" x14ac:dyDescent="0.3">
      <c r="A3" s="19" t="s">
        <v>576</v>
      </c>
    </row>
    <row r="6" spans="1:8" ht="15" thickBot="1" x14ac:dyDescent="0.35">
      <c r="A6" t="s">
        <v>83</v>
      </c>
    </row>
    <row r="7" spans="1:8" x14ac:dyDescent="0.3">
      <c r="B7" s="37"/>
      <c r="C7" s="37"/>
      <c r="D7" s="37" t="s">
        <v>414</v>
      </c>
      <c r="E7" s="37" t="s">
        <v>415</v>
      </c>
      <c r="F7" s="37" t="s">
        <v>22</v>
      </c>
      <c r="G7" s="37" t="s">
        <v>416</v>
      </c>
      <c r="H7" s="37" t="s">
        <v>416</v>
      </c>
    </row>
    <row r="8" spans="1:8" ht="15" thickBot="1" x14ac:dyDescent="0.35">
      <c r="B8" s="38" t="s">
        <v>77</v>
      </c>
      <c r="C8" s="38" t="s">
        <v>78</v>
      </c>
      <c r="D8" s="38" t="s">
        <v>417</v>
      </c>
      <c r="E8" s="38" t="s">
        <v>418</v>
      </c>
      <c r="F8" s="38" t="s">
        <v>419</v>
      </c>
      <c r="G8" s="38" t="s">
        <v>420</v>
      </c>
      <c r="H8" s="38" t="s">
        <v>421</v>
      </c>
    </row>
    <row r="9" spans="1:8" x14ac:dyDescent="0.3">
      <c r="B9" s="35" t="s">
        <v>85</v>
      </c>
      <c r="C9" s="35" t="s">
        <v>86</v>
      </c>
      <c r="D9" s="35">
        <v>0</v>
      </c>
      <c r="E9" s="35">
        <v>0.50000000000000266</v>
      </c>
      <c r="F9" s="35">
        <v>1.3</v>
      </c>
      <c r="G9" s="35">
        <v>1E+30</v>
      </c>
      <c r="H9" s="35">
        <v>0.50000000000000266</v>
      </c>
    </row>
    <row r="10" spans="1:8" x14ac:dyDescent="0.3">
      <c r="B10" s="35" t="s">
        <v>88</v>
      </c>
      <c r="C10" s="35" t="s">
        <v>89</v>
      </c>
      <c r="D10" s="35">
        <v>0</v>
      </c>
      <c r="E10" s="35">
        <v>0.45000000000000018</v>
      </c>
      <c r="F10" s="35">
        <v>1.2</v>
      </c>
      <c r="G10" s="35">
        <v>1E+30</v>
      </c>
      <c r="H10" s="35">
        <v>0.45000000000000018</v>
      </c>
    </row>
    <row r="11" spans="1:8" x14ac:dyDescent="0.3">
      <c r="B11" s="35" t="s">
        <v>90</v>
      </c>
      <c r="C11" s="35" t="s">
        <v>91</v>
      </c>
      <c r="D11" s="35">
        <v>0</v>
      </c>
      <c r="E11" s="35">
        <v>0.25</v>
      </c>
      <c r="F11" s="35">
        <v>0.75</v>
      </c>
      <c r="G11" s="35">
        <v>1E+30</v>
      </c>
      <c r="H11" s="35">
        <v>0.25</v>
      </c>
    </row>
    <row r="12" spans="1:8" x14ac:dyDescent="0.3">
      <c r="B12" s="35" t="s">
        <v>92</v>
      </c>
      <c r="C12" s="35" t="s">
        <v>93</v>
      </c>
      <c r="D12" s="35">
        <v>0</v>
      </c>
      <c r="E12" s="35">
        <v>0</v>
      </c>
      <c r="F12" s="35">
        <v>0.5</v>
      </c>
      <c r="G12" s="35">
        <v>1E+30</v>
      </c>
      <c r="H12" s="35">
        <v>0</v>
      </c>
    </row>
    <row r="13" spans="1:8" x14ac:dyDescent="0.3">
      <c r="B13" s="35" t="s">
        <v>94</v>
      </c>
      <c r="C13" s="35" t="s">
        <v>95</v>
      </c>
      <c r="D13" s="35">
        <v>0</v>
      </c>
      <c r="E13" s="35">
        <v>1.5500000000000114</v>
      </c>
      <c r="F13" s="35">
        <v>2</v>
      </c>
      <c r="G13" s="35">
        <v>1E+30</v>
      </c>
      <c r="H13" s="35">
        <v>1.5500000000000114</v>
      </c>
    </row>
    <row r="14" spans="1:8" x14ac:dyDescent="0.3">
      <c r="B14" s="35" t="s">
        <v>96</v>
      </c>
      <c r="C14" s="35" t="s">
        <v>97</v>
      </c>
      <c r="D14" s="35">
        <v>0</v>
      </c>
      <c r="E14" s="35">
        <v>1.8000000000000087</v>
      </c>
      <c r="F14" s="35">
        <v>2.2000000000000002</v>
      </c>
      <c r="G14" s="35">
        <v>1E+30</v>
      </c>
      <c r="H14" s="35">
        <v>1.8000000000000087</v>
      </c>
    </row>
    <row r="15" spans="1:8" x14ac:dyDescent="0.3">
      <c r="B15" s="35" t="s">
        <v>98</v>
      </c>
      <c r="C15" s="35" t="s">
        <v>99</v>
      </c>
      <c r="D15" s="35">
        <v>0</v>
      </c>
      <c r="E15" s="35">
        <v>2.0500000000000105</v>
      </c>
      <c r="F15" s="35">
        <v>2.4999999999999991</v>
      </c>
      <c r="G15" s="35">
        <v>1E+30</v>
      </c>
      <c r="H15" s="35">
        <v>2.0500000000000105</v>
      </c>
    </row>
    <row r="16" spans="1:8" x14ac:dyDescent="0.3">
      <c r="B16" s="35" t="s">
        <v>100</v>
      </c>
      <c r="C16" s="35" t="s">
        <v>101</v>
      </c>
      <c r="D16" s="35">
        <v>0</v>
      </c>
      <c r="E16" s="35">
        <v>2.5500000000000114</v>
      </c>
      <c r="F16" s="35">
        <v>3</v>
      </c>
      <c r="G16" s="35">
        <v>1E+30</v>
      </c>
      <c r="H16" s="35">
        <v>2.5500000000000114</v>
      </c>
    </row>
    <row r="17" spans="2:8" x14ac:dyDescent="0.3">
      <c r="B17" s="35" t="s">
        <v>102</v>
      </c>
      <c r="C17" s="35" t="s">
        <v>103</v>
      </c>
      <c r="D17" s="35">
        <v>0</v>
      </c>
      <c r="E17" s="35">
        <v>0.30000000000000782</v>
      </c>
      <c r="F17" s="35">
        <v>0.80000000000000071</v>
      </c>
      <c r="G17" s="35">
        <v>1E+30</v>
      </c>
      <c r="H17" s="35">
        <v>0.30000000000000782</v>
      </c>
    </row>
    <row r="18" spans="2:8" x14ac:dyDescent="0.3">
      <c r="B18" s="35" t="s">
        <v>104</v>
      </c>
      <c r="C18" s="35" t="s">
        <v>105</v>
      </c>
      <c r="D18" s="35">
        <v>0</v>
      </c>
      <c r="E18" s="35">
        <v>0.69999999999999929</v>
      </c>
      <c r="F18" s="35">
        <v>1.1999999999999993</v>
      </c>
      <c r="G18" s="35">
        <v>1E+30</v>
      </c>
      <c r="H18" s="35">
        <v>0.69999999999999929</v>
      </c>
    </row>
    <row r="19" spans="2:8" x14ac:dyDescent="0.3">
      <c r="B19" s="35" t="s">
        <v>106</v>
      </c>
      <c r="C19" s="35" t="s">
        <v>107</v>
      </c>
      <c r="D19" s="35">
        <v>0</v>
      </c>
      <c r="E19" s="35">
        <v>5.0000000000004263E-2</v>
      </c>
      <c r="F19" s="35">
        <v>0.5</v>
      </c>
      <c r="G19" s="35">
        <v>1E+30</v>
      </c>
      <c r="H19" s="35">
        <v>5.0000000000004263E-2</v>
      </c>
    </row>
    <row r="20" spans="2:8" x14ac:dyDescent="0.3">
      <c r="B20" s="35" t="s">
        <v>108</v>
      </c>
      <c r="C20" s="35" t="s">
        <v>109</v>
      </c>
      <c r="D20" s="35">
        <v>17500</v>
      </c>
      <c r="E20" s="35">
        <v>0</v>
      </c>
      <c r="F20" s="35">
        <v>0.5</v>
      </c>
      <c r="G20" s="35">
        <v>5.0000000000004263E-2</v>
      </c>
      <c r="H20" s="35">
        <v>0.54999999999998295</v>
      </c>
    </row>
    <row r="21" spans="2:8" x14ac:dyDescent="0.3">
      <c r="B21" s="35" t="s">
        <v>110</v>
      </c>
      <c r="C21" s="35" t="s">
        <v>86</v>
      </c>
      <c r="D21" s="35">
        <v>0</v>
      </c>
      <c r="E21" s="35">
        <v>0.70000000000000284</v>
      </c>
      <c r="F21" s="35">
        <v>1.5</v>
      </c>
      <c r="G21" s="35">
        <v>1E+30</v>
      </c>
      <c r="H21" s="35">
        <v>0.70000000000000284</v>
      </c>
    </row>
    <row r="22" spans="2:8" x14ac:dyDescent="0.3">
      <c r="B22" s="35" t="s">
        <v>111</v>
      </c>
      <c r="C22" s="35" t="s">
        <v>89</v>
      </c>
      <c r="D22" s="35">
        <v>0</v>
      </c>
      <c r="E22" s="35">
        <v>0.80000000000000071</v>
      </c>
      <c r="F22" s="35">
        <v>1.5500000000000007</v>
      </c>
      <c r="G22" s="35">
        <v>1E+30</v>
      </c>
      <c r="H22" s="35">
        <v>0.80000000000000071</v>
      </c>
    </row>
    <row r="23" spans="2:8" x14ac:dyDescent="0.3">
      <c r="B23" s="35" t="s">
        <v>112</v>
      </c>
      <c r="C23" s="35" t="s">
        <v>91</v>
      </c>
      <c r="D23" s="35">
        <v>0</v>
      </c>
      <c r="E23" s="35">
        <v>1.5</v>
      </c>
      <c r="F23" s="35">
        <v>2</v>
      </c>
      <c r="G23" s="35">
        <v>1E+30</v>
      </c>
      <c r="H23" s="35">
        <v>1.5</v>
      </c>
    </row>
    <row r="24" spans="2:8" x14ac:dyDescent="0.3">
      <c r="B24" s="35" t="s">
        <v>113</v>
      </c>
      <c r="C24" s="35" t="s">
        <v>93</v>
      </c>
      <c r="D24" s="35">
        <v>0</v>
      </c>
      <c r="E24" s="35">
        <v>2.5</v>
      </c>
      <c r="F24" s="35">
        <v>3</v>
      </c>
      <c r="G24" s="35">
        <v>1E+30</v>
      </c>
      <c r="H24" s="35">
        <v>2.5</v>
      </c>
    </row>
    <row r="25" spans="2:8" x14ac:dyDescent="0.3">
      <c r="B25" s="35" t="s">
        <v>114</v>
      </c>
      <c r="C25" s="35" t="s">
        <v>95</v>
      </c>
      <c r="D25" s="35">
        <v>0</v>
      </c>
      <c r="E25" s="35">
        <v>1.8999999999999986</v>
      </c>
      <c r="F25" s="35">
        <v>2.3999999999999986</v>
      </c>
      <c r="G25" s="35">
        <v>1E+30</v>
      </c>
      <c r="H25" s="35">
        <v>1.8999999999999986</v>
      </c>
    </row>
    <row r="26" spans="2:8" x14ac:dyDescent="0.3">
      <c r="B26" s="35" t="s">
        <v>115</v>
      </c>
      <c r="C26" s="35" t="s">
        <v>97</v>
      </c>
      <c r="D26" s="35">
        <v>0</v>
      </c>
      <c r="E26" s="35">
        <v>2.1499999999999986</v>
      </c>
      <c r="F26" s="35">
        <v>2.6000000000000014</v>
      </c>
      <c r="G26" s="35">
        <v>1E+30</v>
      </c>
      <c r="H26" s="35">
        <v>2.1499999999999986</v>
      </c>
    </row>
    <row r="27" spans="2:8" x14ac:dyDescent="0.3">
      <c r="B27" s="35" t="s">
        <v>116</v>
      </c>
      <c r="C27" s="35" t="s">
        <v>99</v>
      </c>
      <c r="D27" s="35">
        <v>0</v>
      </c>
      <c r="E27" s="35">
        <v>1.5</v>
      </c>
      <c r="F27" s="35">
        <v>2</v>
      </c>
      <c r="G27" s="35">
        <v>1E+30</v>
      </c>
      <c r="H27" s="35">
        <v>1.5</v>
      </c>
    </row>
    <row r="28" spans="2:8" x14ac:dyDescent="0.3">
      <c r="B28" s="35" t="s">
        <v>117</v>
      </c>
      <c r="C28" s="35" t="s">
        <v>101</v>
      </c>
      <c r="D28" s="35">
        <v>0</v>
      </c>
      <c r="E28" s="35">
        <v>1.25</v>
      </c>
      <c r="F28" s="35">
        <v>1.75</v>
      </c>
      <c r="G28" s="35">
        <v>1E+30</v>
      </c>
      <c r="H28" s="35">
        <v>1.25</v>
      </c>
    </row>
    <row r="29" spans="2:8" x14ac:dyDescent="0.3">
      <c r="B29" s="35" t="s">
        <v>118</v>
      </c>
      <c r="C29" s="35" t="s">
        <v>103</v>
      </c>
      <c r="D29" s="35">
        <v>0</v>
      </c>
      <c r="E29" s="35">
        <v>2.3000000000000043</v>
      </c>
      <c r="F29" s="35">
        <v>3</v>
      </c>
      <c r="G29" s="35">
        <v>1E+30</v>
      </c>
      <c r="H29" s="35">
        <v>2.3000000000000043</v>
      </c>
    </row>
    <row r="30" spans="2:8" x14ac:dyDescent="0.3">
      <c r="B30" s="35" t="s">
        <v>119</v>
      </c>
      <c r="C30" s="35" t="s">
        <v>105</v>
      </c>
      <c r="D30" s="35">
        <v>0</v>
      </c>
      <c r="E30" s="35">
        <v>2.7999999999999972</v>
      </c>
      <c r="F30" s="35">
        <v>3.5</v>
      </c>
      <c r="G30" s="35">
        <v>1E+30</v>
      </c>
      <c r="H30" s="35">
        <v>2.7999999999999972</v>
      </c>
    </row>
    <row r="31" spans="2:8" x14ac:dyDescent="0.3">
      <c r="B31" s="35" t="s">
        <v>120</v>
      </c>
      <c r="C31" s="35" t="s">
        <v>107</v>
      </c>
      <c r="D31" s="35">
        <v>0</v>
      </c>
      <c r="E31" s="35">
        <v>1.3500000000000014</v>
      </c>
      <c r="F31" s="35">
        <v>2</v>
      </c>
      <c r="G31" s="35">
        <v>1E+30</v>
      </c>
      <c r="H31" s="35">
        <v>1.3500000000000014</v>
      </c>
    </row>
    <row r="32" spans="2:8" x14ac:dyDescent="0.3">
      <c r="B32" s="35" t="s">
        <v>121</v>
      </c>
      <c r="C32" s="35" t="s">
        <v>109</v>
      </c>
      <c r="D32" s="35">
        <v>0</v>
      </c>
      <c r="E32" s="35">
        <v>2.0999999999999943</v>
      </c>
      <c r="F32" s="35">
        <v>2.7999999999999972</v>
      </c>
      <c r="G32" s="35">
        <v>1E+30</v>
      </c>
      <c r="H32" s="35">
        <v>2.0999999999999943</v>
      </c>
    </row>
    <row r="33" spans="2:8" x14ac:dyDescent="0.3">
      <c r="B33" s="35" t="s">
        <v>122</v>
      </c>
      <c r="C33" s="35" t="s">
        <v>86</v>
      </c>
      <c r="D33" s="35">
        <v>0</v>
      </c>
      <c r="E33" s="35">
        <v>0.15000000000000568</v>
      </c>
      <c r="F33" s="35">
        <v>0.95000000000000284</v>
      </c>
      <c r="G33" s="35">
        <v>1E+30</v>
      </c>
      <c r="H33" s="35">
        <v>0.15000000000000568</v>
      </c>
    </row>
    <row r="34" spans="2:8" x14ac:dyDescent="0.3">
      <c r="B34" s="35" t="s">
        <v>123</v>
      </c>
      <c r="C34" s="35" t="s">
        <v>89</v>
      </c>
      <c r="D34" s="35">
        <v>25000</v>
      </c>
      <c r="E34" s="35">
        <v>0</v>
      </c>
      <c r="F34" s="35">
        <v>0.75</v>
      </c>
      <c r="G34" s="35">
        <v>0.35000000000000142</v>
      </c>
      <c r="H34" s="35">
        <v>1E+30</v>
      </c>
    </row>
    <row r="35" spans="2:8" x14ac:dyDescent="0.3">
      <c r="B35" s="35" t="s">
        <v>124</v>
      </c>
      <c r="C35" s="35" t="s">
        <v>91</v>
      </c>
      <c r="D35" s="35">
        <v>20000</v>
      </c>
      <c r="E35" s="35">
        <v>0</v>
      </c>
      <c r="F35" s="35">
        <v>0.5</v>
      </c>
      <c r="G35" s="35">
        <v>0.25</v>
      </c>
      <c r="H35" s="35">
        <v>1E+30</v>
      </c>
    </row>
    <row r="36" spans="2:8" x14ac:dyDescent="0.3">
      <c r="B36" s="35" t="s">
        <v>125</v>
      </c>
      <c r="C36" s="35" t="s">
        <v>93</v>
      </c>
      <c r="D36" s="35">
        <v>32500</v>
      </c>
      <c r="E36" s="35">
        <v>0</v>
      </c>
      <c r="F36" s="35">
        <v>0.5</v>
      </c>
      <c r="G36" s="35">
        <v>0</v>
      </c>
      <c r="H36" s="35">
        <v>1E+30</v>
      </c>
    </row>
    <row r="37" spans="2:8" x14ac:dyDescent="0.3">
      <c r="B37" s="35" t="s">
        <v>126</v>
      </c>
      <c r="C37" s="35" t="s">
        <v>95</v>
      </c>
      <c r="D37" s="35">
        <v>32500</v>
      </c>
      <c r="E37" s="35">
        <v>0</v>
      </c>
      <c r="F37" s="35">
        <v>0.5</v>
      </c>
      <c r="G37" s="35">
        <v>0.17999999999999972</v>
      </c>
      <c r="H37" s="35">
        <v>1E+30</v>
      </c>
    </row>
    <row r="38" spans="2:8" x14ac:dyDescent="0.3">
      <c r="B38" s="35" t="s">
        <v>127</v>
      </c>
      <c r="C38" s="35" t="s">
        <v>97</v>
      </c>
      <c r="D38" s="35">
        <v>0</v>
      </c>
      <c r="E38" s="35">
        <v>4.9999999999997158E-2</v>
      </c>
      <c r="F38" s="35">
        <v>0.5</v>
      </c>
      <c r="G38" s="35">
        <v>1E+30</v>
      </c>
      <c r="H38" s="35">
        <v>4.9999999999997158E-2</v>
      </c>
    </row>
    <row r="39" spans="2:8" x14ac:dyDescent="0.3">
      <c r="B39" s="35" t="s">
        <v>128</v>
      </c>
      <c r="C39" s="35" t="s">
        <v>99</v>
      </c>
      <c r="D39" s="35">
        <v>20000</v>
      </c>
      <c r="E39" s="35">
        <v>0</v>
      </c>
      <c r="F39" s="35">
        <v>0.5</v>
      </c>
      <c r="G39" s="35">
        <v>0.29999999999999716</v>
      </c>
      <c r="H39" s="35">
        <v>1E+30</v>
      </c>
    </row>
    <row r="40" spans="2:8" x14ac:dyDescent="0.3">
      <c r="B40" s="35" t="s">
        <v>129</v>
      </c>
      <c r="C40" s="35" t="s">
        <v>101</v>
      </c>
      <c r="D40" s="35">
        <v>12500</v>
      </c>
      <c r="E40" s="35">
        <v>0</v>
      </c>
      <c r="F40" s="35">
        <v>0.5</v>
      </c>
      <c r="G40" s="35">
        <v>5.0000000000004263E-2</v>
      </c>
      <c r="H40" s="35">
        <v>5.0000000000011369E-2</v>
      </c>
    </row>
    <row r="41" spans="2:8" x14ac:dyDescent="0.3">
      <c r="B41" s="35" t="s">
        <v>130</v>
      </c>
      <c r="C41" s="35" t="s">
        <v>103</v>
      </c>
      <c r="D41" s="35">
        <v>32500</v>
      </c>
      <c r="E41" s="35">
        <v>0</v>
      </c>
      <c r="F41" s="35">
        <v>0.69999999999999574</v>
      </c>
      <c r="G41" s="35">
        <v>0.30000000000000782</v>
      </c>
      <c r="H41" s="35">
        <v>1E+30</v>
      </c>
    </row>
    <row r="42" spans="2:8" x14ac:dyDescent="0.3">
      <c r="B42" s="35" t="s">
        <v>131</v>
      </c>
      <c r="C42" s="35" t="s">
        <v>105</v>
      </c>
      <c r="D42" s="35">
        <v>25000</v>
      </c>
      <c r="E42" s="35">
        <v>0</v>
      </c>
      <c r="F42" s="35">
        <v>0.70000000000000284</v>
      </c>
      <c r="G42" s="35">
        <v>0.19999999999999574</v>
      </c>
      <c r="H42" s="35">
        <v>1E+30</v>
      </c>
    </row>
    <row r="43" spans="2:8" x14ac:dyDescent="0.3">
      <c r="B43" s="35" t="s">
        <v>132</v>
      </c>
      <c r="C43" s="35" t="s">
        <v>107</v>
      </c>
      <c r="D43" s="35">
        <v>0</v>
      </c>
      <c r="E43" s="35">
        <v>4.9999999999997158E-2</v>
      </c>
      <c r="F43" s="35">
        <v>0.69999999999999574</v>
      </c>
      <c r="G43" s="35">
        <v>1E+30</v>
      </c>
      <c r="H43" s="35">
        <v>4.9999999999997158E-2</v>
      </c>
    </row>
    <row r="44" spans="2:8" x14ac:dyDescent="0.3">
      <c r="B44" s="35" t="s">
        <v>133</v>
      </c>
      <c r="C44" s="35" t="s">
        <v>109</v>
      </c>
      <c r="D44" s="35">
        <v>15000</v>
      </c>
      <c r="E44" s="35">
        <v>0</v>
      </c>
      <c r="F44" s="35">
        <v>0.70000000000000284</v>
      </c>
      <c r="G44" s="35">
        <v>0.29999999999999716</v>
      </c>
      <c r="H44" s="35">
        <v>5.0000000000004263E-2</v>
      </c>
    </row>
    <row r="45" spans="2:8" x14ac:dyDescent="0.3">
      <c r="B45" s="35" t="s">
        <v>134</v>
      </c>
      <c r="C45" s="35" t="s">
        <v>86</v>
      </c>
      <c r="D45" s="35">
        <v>27500</v>
      </c>
      <c r="E45" s="35">
        <v>0</v>
      </c>
      <c r="F45" s="35">
        <v>0.79999999999999716</v>
      </c>
      <c r="G45" s="35">
        <v>0.15000000000000568</v>
      </c>
      <c r="H45" s="35">
        <v>4.9999999999997158E-2</v>
      </c>
    </row>
    <row r="46" spans="2:8" x14ac:dyDescent="0.3">
      <c r="B46" s="35" t="s">
        <v>135</v>
      </c>
      <c r="C46" s="35" t="s">
        <v>89</v>
      </c>
      <c r="D46" s="35">
        <v>0</v>
      </c>
      <c r="E46" s="35">
        <v>0.35000000000000142</v>
      </c>
      <c r="F46" s="35">
        <v>1.1000000000000014</v>
      </c>
      <c r="G46" s="35">
        <v>1E+30</v>
      </c>
      <c r="H46" s="35">
        <v>0.35000000000000142</v>
      </c>
    </row>
    <row r="47" spans="2:8" x14ac:dyDescent="0.3">
      <c r="B47" s="35" t="s">
        <v>136</v>
      </c>
      <c r="C47" s="35" t="s">
        <v>91</v>
      </c>
      <c r="D47" s="35">
        <v>0</v>
      </c>
      <c r="E47" s="35">
        <v>0.25</v>
      </c>
      <c r="F47" s="35">
        <v>0.75</v>
      </c>
      <c r="G47" s="35">
        <v>1E+30</v>
      </c>
      <c r="H47" s="35">
        <v>0.25</v>
      </c>
    </row>
    <row r="48" spans="2:8" x14ac:dyDescent="0.3">
      <c r="B48" s="35" t="s">
        <v>137</v>
      </c>
      <c r="C48" s="35" t="s">
        <v>93</v>
      </c>
      <c r="D48" s="35">
        <v>0</v>
      </c>
      <c r="E48" s="35">
        <v>0.35000000000000142</v>
      </c>
      <c r="F48" s="35">
        <v>0.85000000000000142</v>
      </c>
      <c r="G48" s="35">
        <v>1E+30</v>
      </c>
      <c r="H48" s="35">
        <v>0.35000000000000142</v>
      </c>
    </row>
    <row r="49" spans="2:8" x14ac:dyDescent="0.3">
      <c r="B49" s="35" t="s">
        <v>138</v>
      </c>
      <c r="C49" s="35" t="s">
        <v>95</v>
      </c>
      <c r="D49" s="35">
        <v>0</v>
      </c>
      <c r="E49" s="35">
        <v>0.17999999999999972</v>
      </c>
      <c r="F49" s="35">
        <v>0.67999999999999972</v>
      </c>
      <c r="G49" s="35">
        <v>1E+30</v>
      </c>
      <c r="H49" s="35">
        <v>0.17999999999999972</v>
      </c>
    </row>
    <row r="50" spans="2:8" x14ac:dyDescent="0.3">
      <c r="B50" s="35" t="s">
        <v>139</v>
      </c>
      <c r="C50" s="35" t="s">
        <v>97</v>
      </c>
      <c r="D50" s="35">
        <v>25000</v>
      </c>
      <c r="E50" s="35">
        <v>0</v>
      </c>
      <c r="F50" s="35">
        <v>0.45000000000000284</v>
      </c>
      <c r="G50" s="35">
        <v>4.9999999999997158E-2</v>
      </c>
      <c r="H50" s="35">
        <v>1E+30</v>
      </c>
    </row>
    <row r="51" spans="2:8" x14ac:dyDescent="0.3">
      <c r="B51" s="35" t="s">
        <v>140</v>
      </c>
      <c r="C51" s="35" t="s">
        <v>99</v>
      </c>
      <c r="D51" s="35">
        <v>0</v>
      </c>
      <c r="E51" s="35">
        <v>0.29999999999999716</v>
      </c>
      <c r="F51" s="35">
        <v>0.79999999999999716</v>
      </c>
      <c r="G51" s="35">
        <v>1E+30</v>
      </c>
      <c r="H51" s="35">
        <v>0.29999999999999716</v>
      </c>
    </row>
    <row r="52" spans="2:8" x14ac:dyDescent="0.3">
      <c r="B52" s="35" t="s">
        <v>141</v>
      </c>
      <c r="C52" s="35" t="s">
        <v>101</v>
      </c>
      <c r="D52" s="35">
        <v>0</v>
      </c>
      <c r="E52" s="35">
        <v>5.0000000000004263E-2</v>
      </c>
      <c r="F52" s="35">
        <v>0.55000000000000426</v>
      </c>
      <c r="G52" s="35">
        <v>1E+30</v>
      </c>
      <c r="H52" s="35">
        <v>5.0000000000004263E-2</v>
      </c>
    </row>
    <row r="53" spans="2:8" x14ac:dyDescent="0.3">
      <c r="B53" s="35" t="s">
        <v>142</v>
      </c>
      <c r="C53" s="35" t="s">
        <v>103</v>
      </c>
      <c r="D53" s="35">
        <v>0</v>
      </c>
      <c r="E53" s="35">
        <v>0.80000000000000426</v>
      </c>
      <c r="F53" s="35">
        <v>1.5</v>
      </c>
      <c r="G53" s="35">
        <v>1E+30</v>
      </c>
      <c r="H53" s="35">
        <v>0.80000000000000426</v>
      </c>
    </row>
    <row r="54" spans="2:8" x14ac:dyDescent="0.3">
      <c r="B54" s="35" t="s">
        <v>143</v>
      </c>
      <c r="C54" s="35" t="s">
        <v>105</v>
      </c>
      <c r="D54" s="35">
        <v>0</v>
      </c>
      <c r="E54" s="35">
        <v>0.19999999999999574</v>
      </c>
      <c r="F54" s="35">
        <v>0.89999999999999858</v>
      </c>
      <c r="G54" s="35">
        <v>1E+30</v>
      </c>
      <c r="H54" s="35">
        <v>0.19999999999999574</v>
      </c>
    </row>
    <row r="55" spans="2:8" x14ac:dyDescent="0.3">
      <c r="B55" s="35" t="s">
        <v>144</v>
      </c>
      <c r="C55" s="35" t="s">
        <v>107</v>
      </c>
      <c r="D55" s="35">
        <v>20000</v>
      </c>
      <c r="E55" s="35">
        <v>0</v>
      </c>
      <c r="F55" s="35">
        <v>0.64999999999999858</v>
      </c>
      <c r="G55" s="35">
        <v>4.9999999999997158E-2</v>
      </c>
      <c r="H55" s="35">
        <v>1E+30</v>
      </c>
    </row>
    <row r="56" spans="2:8" x14ac:dyDescent="0.3">
      <c r="B56" s="35" t="s">
        <v>145</v>
      </c>
      <c r="C56" s="35" t="s">
        <v>109</v>
      </c>
      <c r="D56" s="35">
        <v>0</v>
      </c>
      <c r="E56" s="35">
        <v>0.54999999999999716</v>
      </c>
      <c r="F56" s="35">
        <v>1.25</v>
      </c>
      <c r="G56" s="35">
        <v>1E+30</v>
      </c>
      <c r="H56" s="35">
        <v>0.54999999999999716</v>
      </c>
    </row>
    <row r="57" spans="2:8" x14ac:dyDescent="0.3">
      <c r="B57" s="35" t="s">
        <v>146</v>
      </c>
      <c r="C57" s="35" t="s">
        <v>147</v>
      </c>
      <c r="D57" s="35">
        <v>0</v>
      </c>
      <c r="E57" s="35">
        <v>0.64999999999997726</v>
      </c>
      <c r="F57" s="35">
        <v>3.5</v>
      </c>
      <c r="G57" s="35">
        <v>1E+30</v>
      </c>
      <c r="H57" s="35">
        <v>0.64999999999997726</v>
      </c>
    </row>
    <row r="58" spans="2:8" x14ac:dyDescent="0.3">
      <c r="B58" s="35" t="s">
        <v>148</v>
      </c>
      <c r="C58" s="35" t="s">
        <v>149</v>
      </c>
      <c r="D58" s="35">
        <v>0</v>
      </c>
      <c r="E58" s="35">
        <v>0.45000000000004547</v>
      </c>
      <c r="F58" s="35">
        <v>4</v>
      </c>
      <c r="G58" s="35">
        <v>1E+30</v>
      </c>
      <c r="H58" s="35">
        <v>0.45000000000004547</v>
      </c>
    </row>
    <row r="59" spans="2:8" x14ac:dyDescent="0.3">
      <c r="B59" s="35" t="s">
        <v>150</v>
      </c>
      <c r="C59" s="35" t="s">
        <v>151</v>
      </c>
      <c r="D59" s="35">
        <v>0</v>
      </c>
      <c r="E59" s="35">
        <v>0.70000000000004547</v>
      </c>
      <c r="F59" s="35">
        <v>5</v>
      </c>
      <c r="G59" s="35">
        <v>1E+30</v>
      </c>
      <c r="H59" s="35">
        <v>0.70000000000004547</v>
      </c>
    </row>
    <row r="60" spans="2:8" x14ac:dyDescent="0.3">
      <c r="B60" s="35" t="s">
        <v>152</v>
      </c>
      <c r="C60" s="35" t="s">
        <v>153</v>
      </c>
      <c r="D60" s="35">
        <v>32500</v>
      </c>
      <c r="E60" s="35">
        <v>0</v>
      </c>
      <c r="F60" s="35">
        <v>3.75</v>
      </c>
      <c r="G60" s="35">
        <v>4.9999999999997158E-2</v>
      </c>
      <c r="H60" s="35">
        <v>3.75</v>
      </c>
    </row>
    <row r="61" spans="2:8" x14ac:dyDescent="0.3">
      <c r="B61" s="35" t="s">
        <v>154</v>
      </c>
      <c r="C61" s="35" t="s">
        <v>155</v>
      </c>
      <c r="D61" s="35">
        <v>0</v>
      </c>
      <c r="E61" s="35">
        <v>1.9500000000000028</v>
      </c>
      <c r="F61" s="35">
        <v>4</v>
      </c>
      <c r="G61" s="35">
        <v>1E+30</v>
      </c>
      <c r="H61" s="35">
        <v>1.9500000000000028</v>
      </c>
    </row>
    <row r="62" spans="2:8" x14ac:dyDescent="0.3">
      <c r="B62" s="35" t="s">
        <v>156</v>
      </c>
      <c r="C62" s="35" t="s">
        <v>157</v>
      </c>
      <c r="D62" s="35">
        <v>15000</v>
      </c>
      <c r="E62" s="35">
        <v>0</v>
      </c>
      <c r="F62" s="35">
        <v>4.5</v>
      </c>
      <c r="G62" s="35">
        <v>0.24999999999998579</v>
      </c>
      <c r="H62" s="35">
        <v>0.29999999999995453</v>
      </c>
    </row>
    <row r="63" spans="2:8" x14ac:dyDescent="0.3">
      <c r="B63" s="35" t="s">
        <v>158</v>
      </c>
      <c r="C63" s="35" t="s">
        <v>159</v>
      </c>
      <c r="D63" s="35">
        <v>0</v>
      </c>
      <c r="E63" s="35">
        <v>1.0500000000000114</v>
      </c>
      <c r="F63" s="35">
        <v>4.5</v>
      </c>
      <c r="G63" s="35">
        <v>1E+30</v>
      </c>
      <c r="H63" s="35">
        <v>1.0500000000000114</v>
      </c>
    </row>
    <row r="64" spans="2:8" x14ac:dyDescent="0.3">
      <c r="B64" s="35" t="s">
        <v>160</v>
      </c>
      <c r="C64" s="35" t="s">
        <v>161</v>
      </c>
      <c r="D64" s="35">
        <v>0</v>
      </c>
      <c r="E64" s="35">
        <v>0.75</v>
      </c>
      <c r="F64" s="35">
        <v>5</v>
      </c>
      <c r="G64" s="35">
        <v>1E+30</v>
      </c>
      <c r="H64" s="35">
        <v>0.75</v>
      </c>
    </row>
    <row r="65" spans="2:8" x14ac:dyDescent="0.3">
      <c r="B65" s="35" t="s">
        <v>162</v>
      </c>
      <c r="C65" s="35" t="s">
        <v>163</v>
      </c>
      <c r="D65" s="35">
        <v>12500</v>
      </c>
      <c r="E65" s="35">
        <v>0</v>
      </c>
      <c r="F65" s="35">
        <v>3.75</v>
      </c>
      <c r="G65" s="35">
        <v>4.9999999999954525E-2</v>
      </c>
      <c r="H65" s="35">
        <v>5.0000000000011369E-2</v>
      </c>
    </row>
    <row r="66" spans="2:8" x14ac:dyDescent="0.3">
      <c r="B66" s="35" t="s">
        <v>164</v>
      </c>
      <c r="C66" s="35" t="s">
        <v>165</v>
      </c>
      <c r="D66" s="35">
        <v>7500</v>
      </c>
      <c r="E66" s="35">
        <v>0</v>
      </c>
      <c r="F66" s="35">
        <v>4</v>
      </c>
      <c r="G66" s="35">
        <v>5.0000000000011369E-2</v>
      </c>
      <c r="H66" s="35">
        <v>4.9999999999954525E-2</v>
      </c>
    </row>
    <row r="67" spans="2:8" x14ac:dyDescent="0.3">
      <c r="B67" s="35" t="s">
        <v>166</v>
      </c>
      <c r="C67" s="35" t="s">
        <v>167</v>
      </c>
      <c r="D67" s="35">
        <v>27500</v>
      </c>
      <c r="E67" s="35">
        <v>0</v>
      </c>
      <c r="F67" s="35">
        <v>3.7999999999999972</v>
      </c>
      <c r="G67" s="35">
        <v>0.29999999999996874</v>
      </c>
      <c r="H67" s="35">
        <v>3.8500000000000085</v>
      </c>
    </row>
    <row r="68" spans="2:8" x14ac:dyDescent="0.3">
      <c r="B68" s="35" t="s">
        <v>168</v>
      </c>
      <c r="C68" s="35" t="s">
        <v>169</v>
      </c>
      <c r="D68" s="35">
        <v>0</v>
      </c>
      <c r="E68" s="35">
        <v>0.85000000000000853</v>
      </c>
      <c r="F68" s="35">
        <v>4.7999999999999972</v>
      </c>
      <c r="G68" s="35">
        <v>1E+30</v>
      </c>
      <c r="H68" s="35">
        <v>0.85000000000000853</v>
      </c>
    </row>
    <row r="69" spans="2:8" x14ac:dyDescent="0.3">
      <c r="B69" s="35" t="s">
        <v>170</v>
      </c>
      <c r="C69" s="35" t="s">
        <v>171</v>
      </c>
      <c r="D69" s="35">
        <v>0</v>
      </c>
      <c r="E69" s="35">
        <v>0.20000000000000284</v>
      </c>
      <c r="F69" s="35">
        <v>5</v>
      </c>
      <c r="G69" s="35">
        <v>1E+30</v>
      </c>
      <c r="H69" s="35">
        <v>0.20000000000000284</v>
      </c>
    </row>
    <row r="70" spans="2:8" x14ac:dyDescent="0.3">
      <c r="B70" s="35" t="s">
        <v>172</v>
      </c>
      <c r="C70" s="35" t="s">
        <v>173</v>
      </c>
      <c r="D70" s="35">
        <v>0</v>
      </c>
      <c r="E70" s="35">
        <v>1.2500000000000426</v>
      </c>
      <c r="F70" s="35">
        <v>5.5</v>
      </c>
      <c r="G70" s="35">
        <v>1E+30</v>
      </c>
      <c r="H70" s="35">
        <v>1.2500000000000426</v>
      </c>
    </row>
    <row r="71" spans="2:8" x14ac:dyDescent="0.3">
      <c r="B71" s="35" t="s">
        <v>174</v>
      </c>
      <c r="C71" s="35" t="s">
        <v>175</v>
      </c>
      <c r="D71" s="35">
        <v>0</v>
      </c>
      <c r="E71" s="35">
        <v>3.9500000000000028</v>
      </c>
      <c r="F71" s="35">
        <v>3.75</v>
      </c>
      <c r="G71" s="35">
        <v>1E+30</v>
      </c>
      <c r="H71" s="35">
        <v>3.9500000000000028</v>
      </c>
    </row>
    <row r="72" spans="2:8" x14ac:dyDescent="0.3">
      <c r="B72" s="35" t="s">
        <v>176</v>
      </c>
      <c r="C72" s="35" t="s">
        <v>177</v>
      </c>
      <c r="D72" s="35">
        <v>0</v>
      </c>
      <c r="E72" s="35">
        <v>0</v>
      </c>
      <c r="F72" s="35">
        <v>4.2500000000000142</v>
      </c>
      <c r="G72" s="35">
        <v>0.54999999999998295</v>
      </c>
      <c r="H72" s="35">
        <v>0.10000000000003695</v>
      </c>
    </row>
    <row r="73" spans="2:8" x14ac:dyDescent="0.3">
      <c r="B73" s="35" t="s">
        <v>178</v>
      </c>
      <c r="C73" s="35" t="s">
        <v>179</v>
      </c>
      <c r="D73" s="35">
        <v>30000</v>
      </c>
      <c r="E73" s="35">
        <v>0</v>
      </c>
      <c r="F73" s="35">
        <v>4</v>
      </c>
      <c r="G73" s="35">
        <v>0.10000000000003695</v>
      </c>
      <c r="H73" s="35">
        <v>4.2000000000000028</v>
      </c>
    </row>
    <row r="74" spans="2:8" x14ac:dyDescent="0.3">
      <c r="B74" s="35" t="s">
        <v>180</v>
      </c>
      <c r="C74" s="35" t="s">
        <v>181</v>
      </c>
      <c r="D74" s="35">
        <v>0</v>
      </c>
      <c r="E74" s="35">
        <v>1.4000000000000483</v>
      </c>
      <c r="F74" s="35">
        <v>6</v>
      </c>
      <c r="G74" s="35">
        <v>1E+30</v>
      </c>
      <c r="H74" s="35">
        <v>1.4000000000000483</v>
      </c>
    </row>
    <row r="75" spans="2:8" x14ac:dyDescent="0.3">
      <c r="B75" s="35" t="s">
        <v>182</v>
      </c>
      <c r="C75" s="35" t="s">
        <v>147</v>
      </c>
      <c r="D75" s="35">
        <v>0</v>
      </c>
      <c r="E75" s="35">
        <v>2.1499999999999773</v>
      </c>
      <c r="F75" s="35">
        <v>5</v>
      </c>
      <c r="G75" s="35">
        <v>1E+30</v>
      </c>
      <c r="H75" s="35">
        <v>2.1499999999999773</v>
      </c>
    </row>
    <row r="76" spans="2:8" x14ac:dyDescent="0.3">
      <c r="B76" s="35" t="s">
        <v>183</v>
      </c>
      <c r="C76" s="35" t="s">
        <v>149</v>
      </c>
      <c r="D76" s="35">
        <v>0</v>
      </c>
      <c r="E76" s="35">
        <v>1.9500000000000455</v>
      </c>
      <c r="F76" s="35">
        <v>5.5</v>
      </c>
      <c r="G76" s="35">
        <v>1E+30</v>
      </c>
      <c r="H76" s="35">
        <v>1.9500000000000455</v>
      </c>
    </row>
    <row r="77" spans="2:8" x14ac:dyDescent="0.3">
      <c r="B77" s="35" t="s">
        <v>184</v>
      </c>
      <c r="C77" s="35" t="s">
        <v>151</v>
      </c>
      <c r="D77" s="35">
        <v>0</v>
      </c>
      <c r="E77" s="35">
        <v>1.7000000000000455</v>
      </c>
      <c r="F77" s="35">
        <v>6</v>
      </c>
      <c r="G77" s="35">
        <v>1E+30</v>
      </c>
      <c r="H77" s="35">
        <v>1.7000000000000455</v>
      </c>
    </row>
    <row r="78" spans="2:8" x14ac:dyDescent="0.3">
      <c r="B78" s="35" t="s">
        <v>185</v>
      </c>
      <c r="C78" s="35" t="s">
        <v>153</v>
      </c>
      <c r="D78" s="35">
        <v>0</v>
      </c>
      <c r="E78" s="35">
        <v>1</v>
      </c>
      <c r="F78" s="35">
        <v>4.75</v>
      </c>
      <c r="G78" s="35">
        <v>1E+30</v>
      </c>
      <c r="H78" s="35">
        <v>1</v>
      </c>
    </row>
    <row r="79" spans="2:8" x14ac:dyDescent="0.3">
      <c r="B79" s="35" t="s">
        <v>186</v>
      </c>
      <c r="C79" s="35" t="s">
        <v>155</v>
      </c>
      <c r="D79" s="35">
        <v>0</v>
      </c>
      <c r="E79" s="35">
        <v>1.7000000000000028</v>
      </c>
      <c r="F79" s="35">
        <v>3.75</v>
      </c>
      <c r="G79" s="35">
        <v>1E+30</v>
      </c>
      <c r="H79" s="35">
        <v>1.7000000000000028</v>
      </c>
    </row>
    <row r="80" spans="2:8" x14ac:dyDescent="0.3">
      <c r="B80" s="35" t="s">
        <v>187</v>
      </c>
      <c r="C80" s="35" t="s">
        <v>157</v>
      </c>
      <c r="D80" s="35">
        <v>0</v>
      </c>
      <c r="E80" s="35">
        <v>1.3499999999999659</v>
      </c>
      <c r="F80" s="35">
        <v>5.8499999999999659</v>
      </c>
      <c r="G80" s="35">
        <v>1E+30</v>
      </c>
      <c r="H80" s="35">
        <v>1.3499999999999659</v>
      </c>
    </row>
    <row r="81" spans="2:8" x14ac:dyDescent="0.3">
      <c r="B81" s="35" t="s">
        <v>188</v>
      </c>
      <c r="C81" s="35" t="s">
        <v>159</v>
      </c>
      <c r="D81" s="35">
        <v>0</v>
      </c>
      <c r="E81" s="35">
        <v>2.5</v>
      </c>
      <c r="F81" s="35">
        <v>6</v>
      </c>
      <c r="G81" s="35">
        <v>1E+30</v>
      </c>
      <c r="H81" s="35">
        <v>2.5</v>
      </c>
    </row>
    <row r="82" spans="2:8" x14ac:dyDescent="0.3">
      <c r="B82" s="35" t="s">
        <v>189</v>
      </c>
      <c r="C82" s="35" t="s">
        <v>161</v>
      </c>
      <c r="D82" s="35">
        <v>0</v>
      </c>
      <c r="E82" s="35">
        <v>2.6999999999999886</v>
      </c>
      <c r="F82" s="35">
        <v>7</v>
      </c>
      <c r="G82" s="35">
        <v>1E+30</v>
      </c>
      <c r="H82" s="35">
        <v>2.6999999999999886</v>
      </c>
    </row>
    <row r="83" spans="2:8" x14ac:dyDescent="0.3">
      <c r="B83" s="35" t="s">
        <v>190</v>
      </c>
      <c r="C83" s="35" t="s">
        <v>163</v>
      </c>
      <c r="D83" s="35">
        <v>0</v>
      </c>
      <c r="E83" s="35">
        <v>2.1999999999999886</v>
      </c>
      <c r="F83" s="35">
        <v>6</v>
      </c>
      <c r="G83" s="35">
        <v>1E+30</v>
      </c>
      <c r="H83" s="35">
        <v>2.1999999999999886</v>
      </c>
    </row>
    <row r="84" spans="2:8" x14ac:dyDescent="0.3">
      <c r="B84" s="35" t="s">
        <v>191</v>
      </c>
      <c r="C84" s="35" t="s">
        <v>165</v>
      </c>
      <c r="D84" s="35">
        <v>0</v>
      </c>
      <c r="E84" s="35">
        <v>1.6999999999999886</v>
      </c>
      <c r="F84" s="35">
        <v>5.75</v>
      </c>
      <c r="G84" s="35">
        <v>1E+30</v>
      </c>
      <c r="H84" s="35">
        <v>1.6999999999999886</v>
      </c>
    </row>
    <row r="85" spans="2:8" x14ac:dyDescent="0.3">
      <c r="B85" s="35" t="s">
        <v>192</v>
      </c>
      <c r="C85" s="35" t="s">
        <v>167</v>
      </c>
      <c r="D85" s="35">
        <v>0</v>
      </c>
      <c r="E85" s="35">
        <v>1.8999999999999915</v>
      </c>
      <c r="F85" s="35">
        <v>5.75</v>
      </c>
      <c r="G85" s="35">
        <v>1E+30</v>
      </c>
      <c r="H85" s="35">
        <v>1.8999999999999915</v>
      </c>
    </row>
    <row r="86" spans="2:8" x14ac:dyDescent="0.3">
      <c r="B86" s="35" t="s">
        <v>193</v>
      </c>
      <c r="C86" s="35" t="s">
        <v>169</v>
      </c>
      <c r="D86" s="35">
        <v>0</v>
      </c>
      <c r="E86" s="35">
        <v>2.5</v>
      </c>
      <c r="F86" s="35">
        <v>6.5</v>
      </c>
      <c r="G86" s="35">
        <v>1E+30</v>
      </c>
      <c r="H86" s="35">
        <v>2.5</v>
      </c>
    </row>
    <row r="87" spans="2:8" x14ac:dyDescent="0.3">
      <c r="B87" s="35" t="s">
        <v>194</v>
      </c>
      <c r="C87" s="35" t="s">
        <v>171</v>
      </c>
      <c r="D87" s="35">
        <v>0</v>
      </c>
      <c r="E87" s="35">
        <v>0.80000000000001137</v>
      </c>
      <c r="F87" s="35">
        <v>5.8000000000000114</v>
      </c>
      <c r="G87" s="35">
        <v>1E+30</v>
      </c>
      <c r="H87" s="35">
        <v>0.80000000000001137</v>
      </c>
    </row>
    <row r="88" spans="2:8" x14ac:dyDescent="0.3">
      <c r="B88" s="35" t="s">
        <v>195</v>
      </c>
      <c r="C88" s="35" t="s">
        <v>173</v>
      </c>
      <c r="D88" s="35">
        <v>0</v>
      </c>
      <c r="E88" s="35">
        <v>1.5500000000000398</v>
      </c>
      <c r="F88" s="35">
        <v>6</v>
      </c>
      <c r="G88" s="35">
        <v>1E+30</v>
      </c>
      <c r="H88" s="35">
        <v>1.5500000000000398</v>
      </c>
    </row>
    <row r="89" spans="2:8" x14ac:dyDescent="0.3">
      <c r="B89" s="35" t="s">
        <v>196</v>
      </c>
      <c r="C89" s="35" t="s">
        <v>175</v>
      </c>
      <c r="D89" s="35">
        <v>0</v>
      </c>
      <c r="E89" s="35">
        <v>5.8000000000000114</v>
      </c>
      <c r="F89" s="35">
        <v>5.8000000000000114</v>
      </c>
      <c r="G89" s="35">
        <v>1E+30</v>
      </c>
      <c r="H89" s="35">
        <v>5.8000000000000114</v>
      </c>
    </row>
    <row r="90" spans="2:8" x14ac:dyDescent="0.3">
      <c r="B90" s="35" t="s">
        <v>197</v>
      </c>
      <c r="C90" s="35" t="s">
        <v>177</v>
      </c>
      <c r="D90" s="35">
        <v>0</v>
      </c>
      <c r="E90" s="35">
        <v>2.0499999999999829</v>
      </c>
      <c r="F90" s="35">
        <v>6.5</v>
      </c>
      <c r="G90" s="35">
        <v>1E+30</v>
      </c>
      <c r="H90" s="35">
        <v>2.0499999999999829</v>
      </c>
    </row>
    <row r="91" spans="2:8" x14ac:dyDescent="0.3">
      <c r="B91" s="35" t="s">
        <v>198</v>
      </c>
      <c r="C91" s="35" t="s">
        <v>179</v>
      </c>
      <c r="D91" s="35">
        <v>0</v>
      </c>
      <c r="E91" s="35">
        <v>0.79999999999999716</v>
      </c>
      <c r="F91" s="35">
        <v>5</v>
      </c>
      <c r="G91" s="35">
        <v>1E+30</v>
      </c>
      <c r="H91" s="35">
        <v>0.79999999999999716</v>
      </c>
    </row>
    <row r="92" spans="2:8" x14ac:dyDescent="0.3">
      <c r="B92" s="35" t="s">
        <v>199</v>
      </c>
      <c r="C92" s="35" t="s">
        <v>181</v>
      </c>
      <c r="D92" s="35">
        <v>0</v>
      </c>
      <c r="E92" s="35">
        <v>1.4500000000000455</v>
      </c>
      <c r="F92" s="35">
        <v>6.25</v>
      </c>
      <c r="G92" s="35">
        <v>1E+30</v>
      </c>
      <c r="H92" s="35">
        <v>1.4500000000000455</v>
      </c>
    </row>
    <row r="93" spans="2:8" x14ac:dyDescent="0.3">
      <c r="B93" s="35" t="s">
        <v>200</v>
      </c>
      <c r="C93" s="35" t="s">
        <v>147</v>
      </c>
      <c r="D93" s="35">
        <v>0</v>
      </c>
      <c r="E93" s="35">
        <v>3.6499999999999773</v>
      </c>
      <c r="F93" s="35">
        <v>6.5</v>
      </c>
      <c r="G93" s="35">
        <v>1E+30</v>
      </c>
      <c r="H93" s="35">
        <v>3.6499999999999773</v>
      </c>
    </row>
    <row r="94" spans="2:8" x14ac:dyDescent="0.3">
      <c r="B94" s="35" t="s">
        <v>201</v>
      </c>
      <c r="C94" s="35" t="s">
        <v>149</v>
      </c>
      <c r="D94" s="35">
        <v>0</v>
      </c>
      <c r="E94" s="35">
        <v>4.4500000000000455</v>
      </c>
      <c r="F94" s="35">
        <v>8</v>
      </c>
      <c r="G94" s="35">
        <v>1E+30</v>
      </c>
      <c r="H94" s="35">
        <v>4.4500000000000455</v>
      </c>
    </row>
    <row r="95" spans="2:8" x14ac:dyDescent="0.3">
      <c r="B95" s="35" t="s">
        <v>202</v>
      </c>
      <c r="C95" s="35" t="s">
        <v>151</v>
      </c>
      <c r="D95" s="35">
        <v>0</v>
      </c>
      <c r="E95" s="35">
        <v>1.0000000000000568</v>
      </c>
      <c r="F95" s="35">
        <v>5.3000000000000114</v>
      </c>
      <c r="G95" s="35">
        <v>1E+30</v>
      </c>
      <c r="H95" s="35">
        <v>1.0000000000000568</v>
      </c>
    </row>
    <row r="96" spans="2:8" x14ac:dyDescent="0.3">
      <c r="B96" s="35" t="s">
        <v>203</v>
      </c>
      <c r="C96" s="35" t="s">
        <v>153</v>
      </c>
      <c r="D96" s="35">
        <v>0</v>
      </c>
      <c r="E96" s="35">
        <v>1.25</v>
      </c>
      <c r="F96" s="35">
        <v>5</v>
      </c>
      <c r="G96" s="35">
        <v>1E+30</v>
      </c>
      <c r="H96" s="35">
        <v>1.25</v>
      </c>
    </row>
    <row r="97" spans="2:8" x14ac:dyDescent="0.3">
      <c r="B97" s="35" t="s">
        <v>204</v>
      </c>
      <c r="C97" s="35" t="s">
        <v>155</v>
      </c>
      <c r="D97" s="35">
        <v>0</v>
      </c>
      <c r="E97" s="35">
        <v>4.1499999999999915</v>
      </c>
      <c r="F97" s="35">
        <v>6.1999999999999886</v>
      </c>
      <c r="G97" s="35">
        <v>1E+30</v>
      </c>
      <c r="H97" s="35">
        <v>4.1499999999999915</v>
      </c>
    </row>
    <row r="98" spans="2:8" x14ac:dyDescent="0.3">
      <c r="B98" s="35" t="s">
        <v>205</v>
      </c>
      <c r="C98" s="35" t="s">
        <v>157</v>
      </c>
      <c r="D98" s="35">
        <v>0</v>
      </c>
      <c r="E98" s="35">
        <v>2.6999999999999886</v>
      </c>
      <c r="F98" s="35">
        <v>7.1999999999999886</v>
      </c>
      <c r="G98" s="35">
        <v>1E+30</v>
      </c>
      <c r="H98" s="35">
        <v>2.6999999999999886</v>
      </c>
    </row>
    <row r="99" spans="2:8" x14ac:dyDescent="0.3">
      <c r="B99" s="35" t="s">
        <v>206</v>
      </c>
      <c r="C99" s="35" t="s">
        <v>159</v>
      </c>
      <c r="D99" s="35">
        <v>0</v>
      </c>
      <c r="E99" s="35">
        <v>2</v>
      </c>
      <c r="F99" s="35">
        <v>5.5</v>
      </c>
      <c r="G99" s="35">
        <v>1E+30</v>
      </c>
      <c r="H99" s="35">
        <v>2</v>
      </c>
    </row>
    <row r="100" spans="2:8" x14ac:dyDescent="0.3">
      <c r="B100" s="35" t="s">
        <v>207</v>
      </c>
      <c r="C100" s="35" t="s">
        <v>161</v>
      </c>
      <c r="D100" s="35">
        <v>0</v>
      </c>
      <c r="E100" s="35">
        <v>1.1999999999999886</v>
      </c>
      <c r="F100" s="35">
        <v>5.5</v>
      </c>
      <c r="G100" s="35">
        <v>1E+30</v>
      </c>
      <c r="H100" s="35">
        <v>1.1999999999999886</v>
      </c>
    </row>
    <row r="101" spans="2:8" x14ac:dyDescent="0.3">
      <c r="B101" s="35" t="s">
        <v>208</v>
      </c>
      <c r="C101" s="35" t="s">
        <v>163</v>
      </c>
      <c r="D101" s="35">
        <v>0</v>
      </c>
      <c r="E101" s="35">
        <v>1.6999999999999886</v>
      </c>
      <c r="F101" s="35">
        <v>5.5</v>
      </c>
      <c r="G101" s="35">
        <v>1E+30</v>
      </c>
      <c r="H101" s="35">
        <v>1.6999999999999886</v>
      </c>
    </row>
    <row r="102" spans="2:8" x14ac:dyDescent="0.3">
      <c r="B102" s="35" t="s">
        <v>209</v>
      </c>
      <c r="C102" s="35" t="s">
        <v>165</v>
      </c>
      <c r="D102" s="35">
        <v>0</v>
      </c>
      <c r="E102" s="35">
        <v>1.4499999999999886</v>
      </c>
      <c r="F102" s="35">
        <v>5.5</v>
      </c>
      <c r="G102" s="35">
        <v>1E+30</v>
      </c>
      <c r="H102" s="35">
        <v>1.4499999999999886</v>
      </c>
    </row>
    <row r="103" spans="2:8" x14ac:dyDescent="0.3">
      <c r="B103" s="35" t="s">
        <v>210</v>
      </c>
      <c r="C103" s="35" t="s">
        <v>167</v>
      </c>
      <c r="D103" s="35">
        <v>0</v>
      </c>
      <c r="E103" s="35">
        <v>1.6499999999999915</v>
      </c>
      <c r="F103" s="35">
        <v>5.5</v>
      </c>
      <c r="G103" s="35">
        <v>1E+30</v>
      </c>
      <c r="H103" s="35">
        <v>1.6499999999999915</v>
      </c>
    </row>
    <row r="104" spans="2:8" x14ac:dyDescent="0.3">
      <c r="B104" s="35" t="s">
        <v>211</v>
      </c>
      <c r="C104" s="35" t="s">
        <v>169</v>
      </c>
      <c r="D104" s="35">
        <v>0</v>
      </c>
      <c r="E104" s="35">
        <v>1</v>
      </c>
      <c r="F104" s="35">
        <v>5</v>
      </c>
      <c r="G104" s="35">
        <v>1E+30</v>
      </c>
      <c r="H104" s="35">
        <v>1</v>
      </c>
    </row>
    <row r="105" spans="2:8" x14ac:dyDescent="0.3">
      <c r="B105" s="35" t="s">
        <v>212</v>
      </c>
      <c r="C105" s="35" t="s">
        <v>171</v>
      </c>
      <c r="D105" s="35">
        <v>0</v>
      </c>
      <c r="E105" s="35">
        <v>1</v>
      </c>
      <c r="F105" s="35">
        <v>6</v>
      </c>
      <c r="G105" s="35">
        <v>1E+30</v>
      </c>
      <c r="H105" s="35">
        <v>1</v>
      </c>
    </row>
    <row r="106" spans="2:8" x14ac:dyDescent="0.3">
      <c r="B106" s="35" t="s">
        <v>213</v>
      </c>
      <c r="C106" s="35" t="s">
        <v>173</v>
      </c>
      <c r="D106" s="35">
        <v>0</v>
      </c>
      <c r="E106" s="35">
        <v>1.5500000000000398</v>
      </c>
      <c r="F106" s="35">
        <v>6</v>
      </c>
      <c r="G106" s="35">
        <v>1E+30</v>
      </c>
      <c r="H106" s="35">
        <v>1.5500000000000398</v>
      </c>
    </row>
    <row r="107" spans="2:8" x14ac:dyDescent="0.3">
      <c r="B107" s="35" t="s">
        <v>214</v>
      </c>
      <c r="C107" s="35" t="s">
        <v>175</v>
      </c>
      <c r="D107" s="35">
        <v>0</v>
      </c>
      <c r="E107" s="35">
        <v>6</v>
      </c>
      <c r="F107" s="35">
        <v>6</v>
      </c>
      <c r="G107" s="35">
        <v>1E+30</v>
      </c>
      <c r="H107" s="35">
        <v>6</v>
      </c>
    </row>
    <row r="108" spans="2:8" x14ac:dyDescent="0.3">
      <c r="B108" s="35" t="s">
        <v>215</v>
      </c>
      <c r="C108" s="35" t="s">
        <v>177</v>
      </c>
      <c r="D108" s="35">
        <v>0</v>
      </c>
      <c r="E108" s="35">
        <v>1.5499999999999829</v>
      </c>
      <c r="F108" s="35">
        <v>6</v>
      </c>
      <c r="G108" s="35">
        <v>1E+30</v>
      </c>
      <c r="H108" s="35">
        <v>1.5499999999999829</v>
      </c>
    </row>
    <row r="109" spans="2:8" x14ac:dyDescent="0.3">
      <c r="B109" s="35" t="s">
        <v>216</v>
      </c>
      <c r="C109" s="35" t="s">
        <v>179</v>
      </c>
      <c r="D109" s="35">
        <v>0</v>
      </c>
      <c r="E109" s="35">
        <v>1.7999999999999972</v>
      </c>
      <c r="F109" s="35">
        <v>6</v>
      </c>
      <c r="G109" s="35">
        <v>1E+30</v>
      </c>
      <c r="H109" s="35">
        <v>1.7999999999999972</v>
      </c>
    </row>
    <row r="110" spans="2:8" x14ac:dyDescent="0.3">
      <c r="B110" s="35" t="s">
        <v>217</v>
      </c>
      <c r="C110" s="35" t="s">
        <v>181</v>
      </c>
      <c r="D110" s="35">
        <v>0</v>
      </c>
      <c r="E110" s="35">
        <v>0.70000000000004547</v>
      </c>
      <c r="F110" s="35">
        <v>5.5</v>
      </c>
      <c r="G110" s="35">
        <v>1E+30</v>
      </c>
      <c r="H110" s="35">
        <v>0.70000000000004547</v>
      </c>
    </row>
    <row r="111" spans="2:8" x14ac:dyDescent="0.3">
      <c r="B111" s="35" t="s">
        <v>218</v>
      </c>
      <c r="C111" s="35" t="s">
        <v>147</v>
      </c>
      <c r="D111" s="35">
        <v>0</v>
      </c>
      <c r="E111" s="35">
        <v>2.3999999999999773</v>
      </c>
      <c r="F111" s="35">
        <v>5.25</v>
      </c>
      <c r="G111" s="35">
        <v>1E+30</v>
      </c>
      <c r="H111" s="35">
        <v>2.3999999999999773</v>
      </c>
    </row>
    <row r="112" spans="2:8" x14ac:dyDescent="0.3">
      <c r="B112" s="35" t="s">
        <v>219</v>
      </c>
      <c r="C112" s="35" t="s">
        <v>149</v>
      </c>
      <c r="D112" s="35">
        <v>0</v>
      </c>
      <c r="E112" s="35">
        <v>2.4500000000000455</v>
      </c>
      <c r="F112" s="35">
        <v>6</v>
      </c>
      <c r="G112" s="35">
        <v>1E+30</v>
      </c>
      <c r="H112" s="35">
        <v>2.4500000000000455</v>
      </c>
    </row>
    <row r="113" spans="2:8" x14ac:dyDescent="0.3">
      <c r="B113" s="35" t="s">
        <v>220</v>
      </c>
      <c r="C113" s="35" t="s">
        <v>151</v>
      </c>
      <c r="D113" s="35">
        <v>0</v>
      </c>
      <c r="E113" s="35">
        <v>0.45000000000004547</v>
      </c>
      <c r="F113" s="35">
        <v>4.75</v>
      </c>
      <c r="G113" s="35">
        <v>1E+30</v>
      </c>
      <c r="H113" s="35">
        <v>0.45000000000004547</v>
      </c>
    </row>
    <row r="114" spans="2:8" x14ac:dyDescent="0.3">
      <c r="B114" s="35" t="s">
        <v>221</v>
      </c>
      <c r="C114" s="35" t="s">
        <v>153</v>
      </c>
      <c r="D114" s="35">
        <v>0</v>
      </c>
      <c r="E114" s="35">
        <v>1.75</v>
      </c>
      <c r="F114" s="35">
        <v>5.5</v>
      </c>
      <c r="G114" s="35">
        <v>1E+30</v>
      </c>
      <c r="H114" s="35">
        <v>1.75</v>
      </c>
    </row>
    <row r="115" spans="2:8" x14ac:dyDescent="0.3">
      <c r="B115" s="35" t="s">
        <v>222</v>
      </c>
      <c r="C115" s="35" t="s">
        <v>155</v>
      </c>
      <c r="D115" s="35">
        <v>0</v>
      </c>
      <c r="E115" s="35">
        <v>2.4500000000000028</v>
      </c>
      <c r="F115" s="35">
        <v>4.5</v>
      </c>
      <c r="G115" s="35">
        <v>1E+30</v>
      </c>
      <c r="H115" s="35">
        <v>2.4500000000000028</v>
      </c>
    </row>
    <row r="116" spans="2:8" x14ac:dyDescent="0.3">
      <c r="B116" s="35" t="s">
        <v>223</v>
      </c>
      <c r="C116" s="35" t="s">
        <v>157</v>
      </c>
      <c r="D116" s="35">
        <v>0</v>
      </c>
      <c r="E116" s="35">
        <v>1.3500000000000227</v>
      </c>
      <c r="F116" s="35">
        <v>5.8500000000000227</v>
      </c>
      <c r="G116" s="35">
        <v>1E+30</v>
      </c>
      <c r="H116" s="35">
        <v>1.3500000000000227</v>
      </c>
    </row>
    <row r="117" spans="2:8" x14ac:dyDescent="0.3">
      <c r="B117" s="35" t="s">
        <v>224</v>
      </c>
      <c r="C117" s="35" t="s">
        <v>159</v>
      </c>
      <c r="D117" s="35">
        <v>0</v>
      </c>
      <c r="E117" s="35">
        <v>1.5</v>
      </c>
      <c r="F117" s="35">
        <v>5</v>
      </c>
      <c r="G117" s="35">
        <v>1E+30</v>
      </c>
      <c r="H117" s="35">
        <v>1.5</v>
      </c>
    </row>
    <row r="118" spans="2:8" x14ac:dyDescent="0.3">
      <c r="B118" s="35" t="s">
        <v>225</v>
      </c>
      <c r="C118" s="35" t="s">
        <v>161</v>
      </c>
      <c r="D118" s="35">
        <v>0</v>
      </c>
      <c r="E118" s="35">
        <v>2.1999999999999886</v>
      </c>
      <c r="F118" s="35">
        <v>6.5</v>
      </c>
      <c r="G118" s="35">
        <v>1E+30</v>
      </c>
      <c r="H118" s="35">
        <v>2.1999999999999886</v>
      </c>
    </row>
    <row r="119" spans="2:8" x14ac:dyDescent="0.3">
      <c r="B119" s="35" t="s">
        <v>226</v>
      </c>
      <c r="C119" s="35" t="s">
        <v>163</v>
      </c>
      <c r="D119" s="35">
        <v>0</v>
      </c>
      <c r="E119" s="35">
        <v>3.6999999999999886</v>
      </c>
      <c r="F119" s="35">
        <v>7.5</v>
      </c>
      <c r="G119" s="35">
        <v>1E+30</v>
      </c>
      <c r="H119" s="35">
        <v>3.6999999999999886</v>
      </c>
    </row>
    <row r="120" spans="2:8" x14ac:dyDescent="0.3">
      <c r="B120" s="35" t="s">
        <v>227</v>
      </c>
      <c r="C120" s="35" t="s">
        <v>165</v>
      </c>
      <c r="D120" s="35">
        <v>0</v>
      </c>
      <c r="E120" s="35">
        <v>2.1999999999999886</v>
      </c>
      <c r="F120" s="35">
        <v>6.25</v>
      </c>
      <c r="G120" s="35">
        <v>1E+30</v>
      </c>
      <c r="H120" s="35">
        <v>2.1999999999999886</v>
      </c>
    </row>
    <row r="121" spans="2:8" x14ac:dyDescent="0.3">
      <c r="B121" s="35" t="s">
        <v>228</v>
      </c>
      <c r="C121" s="35" t="s">
        <v>167</v>
      </c>
      <c r="D121" s="35">
        <v>0</v>
      </c>
      <c r="E121" s="35">
        <v>0.89999999999999147</v>
      </c>
      <c r="F121" s="35">
        <v>4.75</v>
      </c>
      <c r="G121" s="35">
        <v>1E+30</v>
      </c>
      <c r="H121" s="35">
        <v>0.89999999999999147</v>
      </c>
    </row>
    <row r="122" spans="2:8" x14ac:dyDescent="0.3">
      <c r="B122" s="35" t="s">
        <v>229</v>
      </c>
      <c r="C122" s="35" t="s">
        <v>169</v>
      </c>
      <c r="D122" s="35">
        <v>0</v>
      </c>
      <c r="E122" s="35">
        <v>3</v>
      </c>
      <c r="F122" s="35">
        <v>7</v>
      </c>
      <c r="G122" s="35">
        <v>1E+30</v>
      </c>
      <c r="H122" s="35">
        <v>3</v>
      </c>
    </row>
    <row r="123" spans="2:8" x14ac:dyDescent="0.3">
      <c r="B123" s="35" t="s">
        <v>230</v>
      </c>
      <c r="C123" s="35" t="s">
        <v>171</v>
      </c>
      <c r="D123" s="35">
        <v>0</v>
      </c>
      <c r="E123" s="35">
        <v>0.39999999999997726</v>
      </c>
      <c r="F123" s="35">
        <v>5.3999999999999773</v>
      </c>
      <c r="G123" s="35">
        <v>1E+30</v>
      </c>
      <c r="H123" s="35">
        <v>0.39999999999997726</v>
      </c>
    </row>
    <row r="124" spans="2:8" x14ac:dyDescent="0.3">
      <c r="B124" s="35" t="s">
        <v>231</v>
      </c>
      <c r="C124" s="35" t="s">
        <v>173</v>
      </c>
      <c r="D124" s="35">
        <v>0</v>
      </c>
      <c r="E124" s="35">
        <v>1.7500000000000284</v>
      </c>
      <c r="F124" s="35">
        <v>6.1999999999999886</v>
      </c>
      <c r="G124" s="35">
        <v>1E+30</v>
      </c>
      <c r="H124" s="35">
        <v>1.7500000000000284</v>
      </c>
    </row>
    <row r="125" spans="2:8" x14ac:dyDescent="0.3">
      <c r="B125" s="35" t="s">
        <v>232</v>
      </c>
      <c r="C125" s="35" t="s">
        <v>175</v>
      </c>
      <c r="D125" s="35">
        <v>0</v>
      </c>
      <c r="E125" s="35">
        <v>5.6500000000000341</v>
      </c>
      <c r="F125" s="35">
        <v>5.6500000000000341</v>
      </c>
      <c r="G125" s="35">
        <v>1E+30</v>
      </c>
      <c r="H125" s="35">
        <v>5.6500000000000341</v>
      </c>
    </row>
    <row r="126" spans="2:8" x14ac:dyDescent="0.3">
      <c r="B126" s="35" t="s">
        <v>233</v>
      </c>
      <c r="C126" s="35" t="s">
        <v>177</v>
      </c>
      <c r="D126" s="35">
        <v>0</v>
      </c>
      <c r="E126" s="35">
        <v>0.54999999999998295</v>
      </c>
      <c r="F126" s="35">
        <v>5</v>
      </c>
      <c r="G126" s="35">
        <v>1E+30</v>
      </c>
      <c r="H126" s="35">
        <v>0.54999999999998295</v>
      </c>
    </row>
    <row r="127" spans="2:8" x14ac:dyDescent="0.3">
      <c r="B127" s="35" t="s">
        <v>234</v>
      </c>
      <c r="C127" s="35" t="s">
        <v>179</v>
      </c>
      <c r="D127" s="35">
        <v>0</v>
      </c>
      <c r="E127" s="35">
        <v>1.2999999999999972</v>
      </c>
      <c r="F127" s="35">
        <v>5.5</v>
      </c>
      <c r="G127" s="35">
        <v>1E+30</v>
      </c>
      <c r="H127" s="35">
        <v>1.2999999999999972</v>
      </c>
    </row>
    <row r="128" spans="2:8" x14ac:dyDescent="0.3">
      <c r="B128" s="35" t="s">
        <v>235</v>
      </c>
      <c r="C128" s="35" t="s">
        <v>181</v>
      </c>
      <c r="D128" s="35">
        <v>25000</v>
      </c>
      <c r="E128" s="35">
        <v>0</v>
      </c>
      <c r="F128" s="35">
        <v>4.7999999999999545</v>
      </c>
      <c r="G128" s="35">
        <v>0.20000000000000284</v>
      </c>
      <c r="H128" s="35">
        <v>0.29999999999999716</v>
      </c>
    </row>
    <row r="129" spans="2:8" x14ac:dyDescent="0.3">
      <c r="B129" s="35" t="s">
        <v>236</v>
      </c>
      <c r="C129" s="35" t="s">
        <v>147</v>
      </c>
      <c r="D129" s="35">
        <v>0</v>
      </c>
      <c r="E129" s="35">
        <v>0.24999999999998579</v>
      </c>
      <c r="F129" s="35">
        <v>2.3000000000000114</v>
      </c>
      <c r="G129" s="35">
        <v>1E+30</v>
      </c>
      <c r="H129" s="35">
        <v>0.24999999999998579</v>
      </c>
    </row>
    <row r="130" spans="2:8" x14ac:dyDescent="0.3">
      <c r="B130" s="35" t="s">
        <v>237</v>
      </c>
      <c r="C130" s="35" t="s">
        <v>149</v>
      </c>
      <c r="D130" s="35">
        <v>0</v>
      </c>
      <c r="E130" s="35">
        <v>0.25000000000004263</v>
      </c>
      <c r="F130" s="35">
        <v>3</v>
      </c>
      <c r="G130" s="35">
        <v>1E+30</v>
      </c>
      <c r="H130" s="35">
        <v>0.25000000000004263</v>
      </c>
    </row>
    <row r="131" spans="2:8" x14ac:dyDescent="0.3">
      <c r="B131" s="35" t="s">
        <v>238</v>
      </c>
      <c r="C131" s="35" t="s">
        <v>151</v>
      </c>
      <c r="D131" s="35">
        <v>0</v>
      </c>
      <c r="E131" s="35">
        <v>0.70000000000003126</v>
      </c>
      <c r="F131" s="35">
        <v>4.1999999999999886</v>
      </c>
      <c r="G131" s="35">
        <v>1E+30</v>
      </c>
      <c r="H131" s="35">
        <v>0.70000000000003126</v>
      </c>
    </row>
    <row r="132" spans="2:8" x14ac:dyDescent="0.3">
      <c r="B132" s="35" t="s">
        <v>239</v>
      </c>
      <c r="C132" s="35" t="s">
        <v>153</v>
      </c>
      <c r="D132" s="35">
        <v>0</v>
      </c>
      <c r="E132" s="35">
        <v>4.9999999999997158E-2</v>
      </c>
      <c r="F132" s="35">
        <v>3</v>
      </c>
      <c r="G132" s="35">
        <v>1E+30</v>
      </c>
      <c r="H132" s="35">
        <v>4.9999999999997158E-2</v>
      </c>
    </row>
    <row r="133" spans="2:8" x14ac:dyDescent="0.3">
      <c r="B133" s="35" t="s">
        <v>240</v>
      </c>
      <c r="C133" s="35" t="s">
        <v>155</v>
      </c>
      <c r="D133" s="35">
        <v>27500</v>
      </c>
      <c r="E133" s="35">
        <v>0</v>
      </c>
      <c r="F133" s="35">
        <v>1.25</v>
      </c>
      <c r="G133" s="35">
        <v>1.7000000000000028</v>
      </c>
      <c r="H133" s="35">
        <v>2.0499999999999972</v>
      </c>
    </row>
    <row r="134" spans="2:8" x14ac:dyDescent="0.3">
      <c r="B134" s="35" t="s">
        <v>241</v>
      </c>
      <c r="C134" s="35" t="s">
        <v>157</v>
      </c>
      <c r="D134" s="35">
        <v>0</v>
      </c>
      <c r="E134" s="35">
        <v>0.79999999999999716</v>
      </c>
      <c r="F134" s="35">
        <v>4.5</v>
      </c>
      <c r="G134" s="35">
        <v>1E+30</v>
      </c>
      <c r="H134" s="35">
        <v>0.79999999999999716</v>
      </c>
    </row>
    <row r="135" spans="2:8" x14ac:dyDescent="0.3">
      <c r="B135" s="35" t="s">
        <v>242</v>
      </c>
      <c r="C135" s="35" t="s">
        <v>159</v>
      </c>
      <c r="D135" s="35">
        <v>7500</v>
      </c>
      <c r="E135" s="35">
        <v>0</v>
      </c>
      <c r="F135" s="35">
        <v>2.1999999999999886</v>
      </c>
      <c r="G135" s="35">
        <v>0.54999999999989768</v>
      </c>
      <c r="H135" s="35">
        <v>3.5</v>
      </c>
    </row>
    <row r="136" spans="2:8" x14ac:dyDescent="0.3">
      <c r="B136" s="35" t="s">
        <v>243</v>
      </c>
      <c r="C136" s="35" t="s">
        <v>161</v>
      </c>
      <c r="D136" s="35">
        <v>12500</v>
      </c>
      <c r="E136" s="35">
        <v>0</v>
      </c>
      <c r="F136" s="35">
        <v>3</v>
      </c>
      <c r="G136" s="35">
        <v>4.9999999999954525E-2</v>
      </c>
      <c r="H136" s="35">
        <v>4.3000000000000114</v>
      </c>
    </row>
    <row r="137" spans="2:8" x14ac:dyDescent="0.3">
      <c r="B137" s="35" t="s">
        <v>244</v>
      </c>
      <c r="C137" s="35" t="s">
        <v>163</v>
      </c>
      <c r="D137" s="35">
        <v>12500</v>
      </c>
      <c r="E137" s="35">
        <v>0</v>
      </c>
      <c r="F137" s="35">
        <v>2.5</v>
      </c>
      <c r="G137" s="35">
        <v>5.0000000000011369E-2</v>
      </c>
      <c r="H137" s="35">
        <v>4.9999999999954525E-2</v>
      </c>
    </row>
    <row r="138" spans="2:8" x14ac:dyDescent="0.3">
      <c r="B138" s="35" t="s">
        <v>245</v>
      </c>
      <c r="C138" s="35" t="s">
        <v>165</v>
      </c>
      <c r="D138" s="35">
        <v>0</v>
      </c>
      <c r="E138" s="35">
        <v>5.0000000000011369E-2</v>
      </c>
      <c r="F138" s="35">
        <v>2.8000000000000114</v>
      </c>
      <c r="G138" s="35">
        <v>1E+30</v>
      </c>
      <c r="H138" s="35">
        <v>5.0000000000011369E-2</v>
      </c>
    </row>
    <row r="139" spans="2:8" x14ac:dyDescent="0.3">
      <c r="B139" s="35" t="s">
        <v>246</v>
      </c>
      <c r="C139" s="35" t="s">
        <v>167</v>
      </c>
      <c r="D139" s="35">
        <v>0</v>
      </c>
      <c r="E139" s="35">
        <v>0.45000000000000284</v>
      </c>
      <c r="F139" s="35">
        <v>3</v>
      </c>
      <c r="G139" s="35">
        <v>1E+30</v>
      </c>
      <c r="H139" s="35">
        <v>0.45000000000000284</v>
      </c>
    </row>
    <row r="140" spans="2:8" x14ac:dyDescent="0.3">
      <c r="B140" s="35" t="s">
        <v>247</v>
      </c>
      <c r="C140" s="35" t="s">
        <v>169</v>
      </c>
      <c r="D140" s="35">
        <v>0</v>
      </c>
      <c r="E140" s="35">
        <v>0</v>
      </c>
      <c r="F140" s="35">
        <v>2.6999999999999886</v>
      </c>
      <c r="G140" s="35">
        <v>5.0000000000011369E-2</v>
      </c>
      <c r="H140" s="35">
        <v>9.9999999999965894E-2</v>
      </c>
    </row>
    <row r="141" spans="2:8" x14ac:dyDescent="0.3">
      <c r="B141" s="35" t="s">
        <v>248</v>
      </c>
      <c r="C141" s="35" t="s">
        <v>171</v>
      </c>
      <c r="D141" s="35">
        <v>0</v>
      </c>
      <c r="E141" s="35">
        <v>0.24999999999997158</v>
      </c>
      <c r="F141" s="35">
        <v>4</v>
      </c>
      <c r="G141" s="35">
        <v>1E+30</v>
      </c>
      <c r="H141" s="35">
        <v>0.24999999999997158</v>
      </c>
    </row>
    <row r="142" spans="2:8" x14ac:dyDescent="0.3">
      <c r="B142" s="35" t="s">
        <v>249</v>
      </c>
      <c r="C142" s="35" t="s">
        <v>173</v>
      </c>
      <c r="D142" s="35">
        <v>22500</v>
      </c>
      <c r="E142" s="35">
        <v>0</v>
      </c>
      <c r="F142" s="35">
        <v>3.1999999999999886</v>
      </c>
      <c r="G142" s="35">
        <v>0.55000000000003979</v>
      </c>
      <c r="H142" s="35">
        <v>4.4499999999999602</v>
      </c>
    </row>
    <row r="143" spans="2:8" x14ac:dyDescent="0.3">
      <c r="B143" s="35" t="s">
        <v>250</v>
      </c>
      <c r="C143" s="35" t="s">
        <v>175</v>
      </c>
      <c r="D143" s="35">
        <v>0</v>
      </c>
      <c r="E143" s="35">
        <v>1.2499999999999716</v>
      </c>
      <c r="F143" s="35">
        <v>5</v>
      </c>
      <c r="G143" s="35">
        <v>1E+30</v>
      </c>
      <c r="H143" s="35">
        <v>1.2499999999999716</v>
      </c>
    </row>
    <row r="144" spans="2:8" x14ac:dyDescent="0.3">
      <c r="B144" s="35" t="s">
        <v>251</v>
      </c>
      <c r="C144" s="35" t="s">
        <v>177</v>
      </c>
      <c r="D144" s="35">
        <v>10000</v>
      </c>
      <c r="E144" s="35">
        <v>0</v>
      </c>
      <c r="F144" s="35">
        <v>3.2000000000000455</v>
      </c>
      <c r="G144" s="35">
        <v>0.24999999999997158</v>
      </c>
      <c r="H144" s="35">
        <v>0.55000000000003979</v>
      </c>
    </row>
    <row r="145" spans="2:8" x14ac:dyDescent="0.3">
      <c r="B145" s="35" t="s">
        <v>252</v>
      </c>
      <c r="C145" s="35" t="s">
        <v>179</v>
      </c>
      <c r="D145" s="35">
        <v>0</v>
      </c>
      <c r="E145" s="35">
        <v>1.0499999999999687</v>
      </c>
      <c r="F145" s="35">
        <v>4</v>
      </c>
      <c r="G145" s="35">
        <v>1E+30</v>
      </c>
      <c r="H145" s="35">
        <v>1.0499999999999687</v>
      </c>
    </row>
    <row r="146" spans="2:8" x14ac:dyDescent="0.3">
      <c r="B146" s="35" t="s">
        <v>253</v>
      </c>
      <c r="C146" s="35" t="s">
        <v>181</v>
      </c>
      <c r="D146" s="35">
        <v>0</v>
      </c>
      <c r="E146" s="35">
        <v>0.84999999999999432</v>
      </c>
      <c r="F146" s="35">
        <v>4.3999999999999773</v>
      </c>
      <c r="G146" s="35">
        <v>1E+30</v>
      </c>
      <c r="H146" s="35">
        <v>0.84999999999999432</v>
      </c>
    </row>
    <row r="147" spans="2:8" x14ac:dyDescent="0.3">
      <c r="B147" s="35" t="s">
        <v>254</v>
      </c>
      <c r="C147" s="35" t="s">
        <v>147</v>
      </c>
      <c r="D147" s="35">
        <v>0</v>
      </c>
      <c r="E147" s="35">
        <v>0.94999999999998863</v>
      </c>
      <c r="F147" s="35">
        <v>2.5000000000000568</v>
      </c>
      <c r="G147" s="35">
        <v>1E+30</v>
      </c>
      <c r="H147" s="35">
        <v>0.94999999999998863</v>
      </c>
    </row>
    <row r="148" spans="2:8" x14ac:dyDescent="0.3">
      <c r="B148" s="35" t="s">
        <v>255</v>
      </c>
      <c r="C148" s="35" t="s">
        <v>149</v>
      </c>
      <c r="D148" s="35">
        <v>0</v>
      </c>
      <c r="E148" s="35">
        <v>0.25</v>
      </c>
      <c r="F148" s="35">
        <v>2.5</v>
      </c>
      <c r="G148" s="35">
        <v>1E+30</v>
      </c>
      <c r="H148" s="35">
        <v>0.25</v>
      </c>
    </row>
    <row r="149" spans="2:8" x14ac:dyDescent="0.3">
      <c r="B149" s="35" t="s">
        <v>256</v>
      </c>
      <c r="C149" s="35" t="s">
        <v>151</v>
      </c>
      <c r="D149" s="35">
        <v>20000</v>
      </c>
      <c r="E149" s="35">
        <v>0</v>
      </c>
      <c r="F149" s="35">
        <v>3</v>
      </c>
      <c r="G149" s="35">
        <v>5.0000000000181899E-2</v>
      </c>
      <c r="H149" s="35">
        <v>0.29999999999995453</v>
      </c>
    </row>
    <row r="150" spans="2:8" x14ac:dyDescent="0.3">
      <c r="B150" s="35" t="s">
        <v>257</v>
      </c>
      <c r="C150" s="35" t="s">
        <v>153</v>
      </c>
      <c r="D150" s="35">
        <v>0</v>
      </c>
      <c r="E150" s="35">
        <v>0.34999999999990905</v>
      </c>
      <c r="F150" s="35">
        <v>2.7999999999999545</v>
      </c>
      <c r="G150" s="35">
        <v>1E+30</v>
      </c>
      <c r="H150" s="35">
        <v>0.34999999999990905</v>
      </c>
    </row>
    <row r="151" spans="2:8" x14ac:dyDescent="0.3">
      <c r="B151" s="35" t="s">
        <v>258</v>
      </c>
      <c r="C151" s="35" t="s">
        <v>155</v>
      </c>
      <c r="D151" s="35">
        <v>0</v>
      </c>
      <c r="E151" s="35">
        <v>2.2499999999999574</v>
      </c>
      <c r="F151" s="35">
        <v>3</v>
      </c>
      <c r="G151" s="35">
        <v>1E+30</v>
      </c>
      <c r="H151" s="35">
        <v>2.2499999999999574</v>
      </c>
    </row>
    <row r="152" spans="2:8" x14ac:dyDescent="0.3">
      <c r="B152" s="35" t="s">
        <v>259</v>
      </c>
      <c r="C152" s="35" t="s">
        <v>157</v>
      </c>
      <c r="D152" s="35">
        <v>5000</v>
      </c>
      <c r="E152" s="35">
        <v>0</v>
      </c>
      <c r="F152" s="35">
        <v>3.2000000000000455</v>
      </c>
      <c r="G152" s="35">
        <v>0.29999999999995453</v>
      </c>
      <c r="H152" s="35">
        <v>5.0000000000181899E-2</v>
      </c>
    </row>
    <row r="153" spans="2:8" x14ac:dyDescent="0.3">
      <c r="B153" s="35" t="s">
        <v>260</v>
      </c>
      <c r="C153" s="35" t="s">
        <v>159</v>
      </c>
      <c r="D153" s="35">
        <v>0</v>
      </c>
      <c r="E153" s="35">
        <v>0.54999999999989768</v>
      </c>
      <c r="F153" s="35">
        <v>3.1999999999999318</v>
      </c>
      <c r="G153" s="35">
        <v>1E+30</v>
      </c>
      <c r="H153" s="35">
        <v>0.54999999999989768</v>
      </c>
    </row>
    <row r="154" spans="2:8" x14ac:dyDescent="0.3">
      <c r="B154" s="35" t="s">
        <v>261</v>
      </c>
      <c r="C154" s="35" t="s">
        <v>161</v>
      </c>
      <c r="D154" s="35">
        <v>0</v>
      </c>
      <c r="E154" s="35">
        <v>4.9999999999954525E-2</v>
      </c>
      <c r="F154" s="35">
        <v>3.5</v>
      </c>
      <c r="G154" s="35">
        <v>1E+30</v>
      </c>
      <c r="H154" s="35">
        <v>4.9999999999954525E-2</v>
      </c>
    </row>
    <row r="155" spans="2:8" x14ac:dyDescent="0.3">
      <c r="B155" s="35" t="s">
        <v>262</v>
      </c>
      <c r="C155" s="35" t="s">
        <v>163</v>
      </c>
      <c r="D155" s="35">
        <v>0</v>
      </c>
      <c r="E155" s="35">
        <v>0.25</v>
      </c>
      <c r="F155" s="35">
        <v>3.2000000000000455</v>
      </c>
      <c r="G155" s="35">
        <v>1E+30</v>
      </c>
      <c r="H155" s="35">
        <v>0.25</v>
      </c>
    </row>
    <row r="156" spans="2:8" x14ac:dyDescent="0.3">
      <c r="B156" s="35" t="s">
        <v>263</v>
      </c>
      <c r="C156" s="35" t="s">
        <v>165</v>
      </c>
      <c r="D156" s="35">
        <v>25000</v>
      </c>
      <c r="E156" s="35">
        <v>0</v>
      </c>
      <c r="F156" s="35">
        <v>3.2000000000000455</v>
      </c>
      <c r="G156" s="35">
        <v>4.9999999999954525E-2</v>
      </c>
      <c r="H156" s="35">
        <v>1E+30</v>
      </c>
    </row>
    <row r="157" spans="2:8" x14ac:dyDescent="0.3">
      <c r="B157" s="35" t="s">
        <v>264</v>
      </c>
      <c r="C157" s="35" t="s">
        <v>167</v>
      </c>
      <c r="D157" s="35">
        <v>0</v>
      </c>
      <c r="E157" s="35">
        <v>0.99999999999995737</v>
      </c>
      <c r="F157" s="35">
        <v>4</v>
      </c>
      <c r="G157" s="35">
        <v>1E+30</v>
      </c>
      <c r="H157" s="35">
        <v>0.99999999999995737</v>
      </c>
    </row>
    <row r="158" spans="2:8" x14ac:dyDescent="0.3">
      <c r="B158" s="35" t="s">
        <v>265</v>
      </c>
      <c r="C158" s="35" t="s">
        <v>169</v>
      </c>
      <c r="D158" s="35">
        <v>0</v>
      </c>
      <c r="E158" s="35">
        <v>1.7499999999999432</v>
      </c>
      <c r="F158" s="35">
        <v>4.8999999999999773</v>
      </c>
      <c r="G158" s="35">
        <v>1E+30</v>
      </c>
      <c r="H158" s="35">
        <v>1.7499999999999432</v>
      </c>
    </row>
    <row r="159" spans="2:8" x14ac:dyDescent="0.3">
      <c r="B159" s="35" t="s">
        <v>266</v>
      </c>
      <c r="C159" s="35" t="s">
        <v>171</v>
      </c>
      <c r="D159" s="35">
        <v>0</v>
      </c>
      <c r="E159" s="35">
        <v>2.3499999999999943</v>
      </c>
      <c r="F159" s="35">
        <v>5</v>
      </c>
      <c r="G159" s="35">
        <v>1E+30</v>
      </c>
      <c r="H159" s="35">
        <v>2.3499999999999943</v>
      </c>
    </row>
    <row r="160" spans="2:8" x14ac:dyDescent="0.3">
      <c r="B160" s="35" t="s">
        <v>267</v>
      </c>
      <c r="C160" s="35" t="s">
        <v>173</v>
      </c>
      <c r="D160" s="35">
        <v>0</v>
      </c>
      <c r="E160" s="35">
        <v>1.9000000000000341</v>
      </c>
      <c r="F160" s="35">
        <v>4</v>
      </c>
      <c r="G160" s="35">
        <v>1E+30</v>
      </c>
      <c r="H160" s="35">
        <v>1.9000000000000341</v>
      </c>
    </row>
    <row r="161" spans="2:8" x14ac:dyDescent="0.3">
      <c r="B161" s="35" t="s">
        <v>268</v>
      </c>
      <c r="C161" s="35" t="s">
        <v>175</v>
      </c>
      <c r="D161" s="35">
        <v>0</v>
      </c>
      <c r="E161" s="35">
        <v>1.1499999999999488</v>
      </c>
      <c r="F161" s="35">
        <v>3.7999999999999545</v>
      </c>
      <c r="G161" s="35">
        <v>1E+30</v>
      </c>
      <c r="H161" s="35">
        <v>1.1499999999999488</v>
      </c>
    </row>
    <row r="162" spans="2:8" x14ac:dyDescent="0.3">
      <c r="B162" s="35" t="s">
        <v>269</v>
      </c>
      <c r="C162" s="35" t="s">
        <v>177</v>
      </c>
      <c r="D162" s="35">
        <v>25000</v>
      </c>
      <c r="E162" s="35">
        <v>0</v>
      </c>
      <c r="F162" s="35">
        <v>2.1000000000000227</v>
      </c>
      <c r="G162" s="35">
        <v>0.10000000000003695</v>
      </c>
      <c r="H162" s="35">
        <v>1E+30</v>
      </c>
    </row>
    <row r="163" spans="2:8" x14ac:dyDescent="0.3">
      <c r="B163" s="35" t="s">
        <v>270</v>
      </c>
      <c r="C163" s="35" t="s">
        <v>179</v>
      </c>
      <c r="D163" s="35">
        <v>0</v>
      </c>
      <c r="E163" s="35">
        <v>0.10000000000003695</v>
      </c>
      <c r="F163" s="35">
        <v>1.9500000000000455</v>
      </c>
      <c r="G163" s="35">
        <v>1E+30</v>
      </c>
      <c r="H163" s="35">
        <v>0.10000000000003695</v>
      </c>
    </row>
    <row r="164" spans="2:8" x14ac:dyDescent="0.3">
      <c r="B164" s="35" t="s">
        <v>271</v>
      </c>
      <c r="C164" s="35" t="s">
        <v>181</v>
      </c>
      <c r="D164" s="35">
        <v>0</v>
      </c>
      <c r="E164" s="35">
        <v>0.74999999999997158</v>
      </c>
      <c r="F164" s="35">
        <v>3.1999999999999318</v>
      </c>
      <c r="G164" s="35">
        <v>1E+30</v>
      </c>
      <c r="H164" s="35">
        <v>0.74999999999997158</v>
      </c>
    </row>
    <row r="165" spans="2:8" x14ac:dyDescent="0.3">
      <c r="B165" s="35" t="s">
        <v>272</v>
      </c>
      <c r="C165" s="35" t="s">
        <v>147</v>
      </c>
      <c r="D165" s="35">
        <v>10000</v>
      </c>
      <c r="E165" s="35">
        <v>0</v>
      </c>
      <c r="F165" s="35">
        <v>1.25</v>
      </c>
      <c r="G165" s="35">
        <v>0.24999999999998579</v>
      </c>
      <c r="H165" s="35">
        <v>2.8500000000000227</v>
      </c>
    </row>
    <row r="166" spans="2:8" x14ac:dyDescent="0.3">
      <c r="B166" s="35" t="s">
        <v>273</v>
      </c>
      <c r="C166" s="35" t="s">
        <v>149</v>
      </c>
      <c r="D166" s="35">
        <v>0</v>
      </c>
      <c r="E166" s="35">
        <v>0.80000000000006821</v>
      </c>
      <c r="F166" s="35">
        <v>2.75</v>
      </c>
      <c r="G166" s="35">
        <v>1E+30</v>
      </c>
      <c r="H166" s="35">
        <v>0.80000000000006821</v>
      </c>
    </row>
    <row r="167" spans="2:8" x14ac:dyDescent="0.3">
      <c r="B167" s="35" t="s">
        <v>274</v>
      </c>
      <c r="C167" s="35" t="s">
        <v>151</v>
      </c>
      <c r="D167" s="35">
        <v>0</v>
      </c>
      <c r="E167" s="35">
        <v>5.0000000000181899E-2</v>
      </c>
      <c r="F167" s="35">
        <v>2.7500000000001137</v>
      </c>
      <c r="G167" s="35">
        <v>1E+30</v>
      </c>
      <c r="H167" s="35">
        <v>5.0000000000181899E-2</v>
      </c>
    </row>
    <row r="168" spans="2:8" x14ac:dyDescent="0.3">
      <c r="B168" s="35" t="s">
        <v>275</v>
      </c>
      <c r="C168" s="35" t="s">
        <v>153</v>
      </c>
      <c r="D168" s="35">
        <v>0</v>
      </c>
      <c r="E168" s="35">
        <v>0.85000000000002274</v>
      </c>
      <c r="F168" s="35">
        <v>3</v>
      </c>
      <c r="G168" s="35">
        <v>1E+30</v>
      </c>
      <c r="H168" s="35">
        <v>0.85000000000002274</v>
      </c>
    </row>
    <row r="169" spans="2:8" x14ac:dyDescent="0.3">
      <c r="B169" s="35" t="s">
        <v>276</v>
      </c>
      <c r="C169" s="35" t="s">
        <v>155</v>
      </c>
      <c r="D169" s="35">
        <v>0</v>
      </c>
      <c r="E169" s="35">
        <v>2.5500000000000256</v>
      </c>
      <c r="F169" s="35">
        <v>3</v>
      </c>
      <c r="G169" s="35">
        <v>1E+30</v>
      </c>
      <c r="H169" s="35">
        <v>2.5500000000000256</v>
      </c>
    </row>
    <row r="170" spans="2:8" x14ac:dyDescent="0.3">
      <c r="B170" s="35" t="s">
        <v>277</v>
      </c>
      <c r="C170" s="35" t="s">
        <v>157</v>
      </c>
      <c r="D170" s="35">
        <v>10000</v>
      </c>
      <c r="E170" s="35">
        <v>0</v>
      </c>
      <c r="F170" s="35">
        <v>2.8999999999999773</v>
      </c>
      <c r="G170" s="35">
        <v>5.0000000000181899E-2</v>
      </c>
      <c r="H170" s="35">
        <v>0.24999999999998579</v>
      </c>
    </row>
    <row r="171" spans="2:8" x14ac:dyDescent="0.3">
      <c r="B171" s="35" t="s">
        <v>278</v>
      </c>
      <c r="C171" s="35" t="s">
        <v>159</v>
      </c>
      <c r="D171" s="35">
        <v>0</v>
      </c>
      <c r="E171" s="35">
        <v>0.89999999999997726</v>
      </c>
      <c r="F171" s="35">
        <v>3</v>
      </c>
      <c r="G171" s="35">
        <v>1E+30</v>
      </c>
      <c r="H171" s="35">
        <v>0.89999999999997726</v>
      </c>
    </row>
    <row r="172" spans="2:8" x14ac:dyDescent="0.3">
      <c r="B172" s="35" t="s">
        <v>279</v>
      </c>
      <c r="C172" s="35" t="s">
        <v>161</v>
      </c>
      <c r="D172" s="35">
        <v>0</v>
      </c>
      <c r="E172" s="35">
        <v>9.9999999999965894E-2</v>
      </c>
      <c r="F172" s="35">
        <v>3</v>
      </c>
      <c r="G172" s="35">
        <v>1E+30</v>
      </c>
      <c r="H172" s="35">
        <v>9.9999999999965894E-2</v>
      </c>
    </row>
    <row r="173" spans="2:8" x14ac:dyDescent="0.3">
      <c r="B173" s="35" t="s">
        <v>280</v>
      </c>
      <c r="C173" s="35" t="s">
        <v>163</v>
      </c>
      <c r="D173" s="35">
        <v>0</v>
      </c>
      <c r="E173" s="35">
        <v>0.34999999999996589</v>
      </c>
      <c r="F173" s="35">
        <v>2.75</v>
      </c>
      <c r="G173" s="35">
        <v>1E+30</v>
      </c>
      <c r="H173" s="35">
        <v>0.34999999999996589</v>
      </c>
    </row>
    <row r="174" spans="2:8" x14ac:dyDescent="0.3">
      <c r="B174" s="35" t="s">
        <v>281</v>
      </c>
      <c r="C174" s="35" t="s">
        <v>165</v>
      </c>
      <c r="D174" s="35">
        <v>0</v>
      </c>
      <c r="E174" s="35">
        <v>0.34999999999996589</v>
      </c>
      <c r="F174" s="35">
        <v>3</v>
      </c>
      <c r="G174" s="35">
        <v>1E+30</v>
      </c>
      <c r="H174" s="35">
        <v>0.34999999999996589</v>
      </c>
    </row>
    <row r="175" spans="2:8" x14ac:dyDescent="0.3">
      <c r="B175" s="35" t="s">
        <v>282</v>
      </c>
      <c r="C175" s="35" t="s">
        <v>167</v>
      </c>
      <c r="D175" s="35">
        <v>0</v>
      </c>
      <c r="E175" s="35">
        <v>0.29999999999996874</v>
      </c>
      <c r="F175" s="35">
        <v>2.75</v>
      </c>
      <c r="G175" s="35">
        <v>1E+30</v>
      </c>
      <c r="H175" s="35">
        <v>0.29999999999996874</v>
      </c>
    </row>
    <row r="176" spans="2:8" x14ac:dyDescent="0.3">
      <c r="B176" s="35" t="s">
        <v>283</v>
      </c>
      <c r="C176" s="35" t="s">
        <v>169</v>
      </c>
      <c r="D176" s="35">
        <v>20000</v>
      </c>
      <c r="E176" s="35">
        <v>0</v>
      </c>
      <c r="F176" s="35">
        <v>2.6000000000000227</v>
      </c>
      <c r="G176" s="35">
        <v>9.9999999999965894E-2</v>
      </c>
      <c r="H176" s="35">
        <v>1E+30</v>
      </c>
    </row>
    <row r="177" spans="2:8" x14ac:dyDescent="0.3">
      <c r="B177" s="35" t="s">
        <v>284</v>
      </c>
      <c r="C177" s="35" t="s">
        <v>171</v>
      </c>
      <c r="D177" s="35">
        <v>10000</v>
      </c>
      <c r="E177" s="35">
        <v>0</v>
      </c>
      <c r="F177" s="35">
        <v>3</v>
      </c>
      <c r="G177" s="35">
        <v>0</v>
      </c>
      <c r="H177" s="35">
        <v>5</v>
      </c>
    </row>
    <row r="178" spans="2:8" x14ac:dyDescent="0.3">
      <c r="B178" s="35" t="s">
        <v>285</v>
      </c>
      <c r="C178" s="35" t="s">
        <v>173</v>
      </c>
      <c r="D178" s="35">
        <v>0</v>
      </c>
      <c r="E178" s="35">
        <v>0.55000000000003979</v>
      </c>
      <c r="F178" s="35">
        <v>3</v>
      </c>
      <c r="G178" s="35">
        <v>1E+30</v>
      </c>
      <c r="H178" s="35">
        <v>0.55000000000003979</v>
      </c>
    </row>
    <row r="179" spans="2:8" x14ac:dyDescent="0.3">
      <c r="B179" s="35" t="s">
        <v>286</v>
      </c>
      <c r="C179" s="35" t="s">
        <v>175</v>
      </c>
      <c r="D179" s="35">
        <v>10000</v>
      </c>
      <c r="E179" s="35">
        <v>0</v>
      </c>
      <c r="F179" s="35">
        <v>3</v>
      </c>
      <c r="G179" s="35">
        <v>0.45000000000004547</v>
      </c>
      <c r="H179" s="35">
        <v>0</v>
      </c>
    </row>
    <row r="180" spans="2:8" x14ac:dyDescent="0.3">
      <c r="B180" s="35" t="s">
        <v>287</v>
      </c>
      <c r="C180" s="35" t="s">
        <v>177</v>
      </c>
      <c r="D180" s="35">
        <v>0</v>
      </c>
      <c r="E180" s="35">
        <v>0.54999999999998295</v>
      </c>
      <c r="F180" s="35">
        <v>3</v>
      </c>
      <c r="G180" s="35">
        <v>1E+30</v>
      </c>
      <c r="H180" s="35">
        <v>0.54999999999998295</v>
      </c>
    </row>
    <row r="181" spans="2:8" x14ac:dyDescent="0.3">
      <c r="B181" s="35" t="s">
        <v>288</v>
      </c>
      <c r="C181" s="35" t="s">
        <v>179</v>
      </c>
      <c r="D181" s="35">
        <v>0</v>
      </c>
      <c r="E181" s="35">
        <v>0.54999999999999716</v>
      </c>
      <c r="F181" s="35">
        <v>2.75</v>
      </c>
      <c r="G181" s="35">
        <v>1E+30</v>
      </c>
      <c r="H181" s="35">
        <v>0.54999999999999716</v>
      </c>
    </row>
    <row r="182" spans="2:8" x14ac:dyDescent="0.3">
      <c r="B182" s="35" t="s">
        <v>289</v>
      </c>
      <c r="C182" s="35" t="s">
        <v>181</v>
      </c>
      <c r="D182" s="35">
        <v>0</v>
      </c>
      <c r="E182" s="35">
        <v>0.45000000000004547</v>
      </c>
      <c r="F182" s="35">
        <v>3.25</v>
      </c>
      <c r="G182" s="35">
        <v>1E+30</v>
      </c>
      <c r="H182" s="35">
        <v>0.45000000000004547</v>
      </c>
    </row>
    <row r="183" spans="2:8" x14ac:dyDescent="0.3">
      <c r="B183" s="35" t="s">
        <v>290</v>
      </c>
      <c r="C183" s="35" t="s">
        <v>147</v>
      </c>
      <c r="D183" s="35">
        <v>0</v>
      </c>
      <c r="E183" s="35">
        <v>0.74999999999988631</v>
      </c>
      <c r="F183" s="35">
        <v>2.7999999999999545</v>
      </c>
      <c r="G183" s="35">
        <v>1E+30</v>
      </c>
      <c r="H183" s="35">
        <v>0.74999999999988631</v>
      </c>
    </row>
    <row r="184" spans="2:8" x14ac:dyDescent="0.3">
      <c r="B184" s="35" t="s">
        <v>291</v>
      </c>
      <c r="C184" s="35" t="s">
        <v>149</v>
      </c>
      <c r="D184" s="35">
        <v>27500</v>
      </c>
      <c r="E184" s="35">
        <v>0</v>
      </c>
      <c r="F184" s="35">
        <v>2.75</v>
      </c>
      <c r="G184" s="35">
        <v>0.25</v>
      </c>
      <c r="H184" s="35">
        <v>3.5499999999999545</v>
      </c>
    </row>
    <row r="185" spans="2:8" x14ac:dyDescent="0.3">
      <c r="B185" s="35" t="s">
        <v>292</v>
      </c>
      <c r="C185" s="35" t="s">
        <v>151</v>
      </c>
      <c r="D185" s="35">
        <v>5000</v>
      </c>
      <c r="E185" s="35">
        <v>0</v>
      </c>
      <c r="F185" s="35">
        <v>3.5</v>
      </c>
      <c r="G185" s="35">
        <v>0.29999999999995453</v>
      </c>
      <c r="H185" s="35">
        <v>0.25</v>
      </c>
    </row>
    <row r="186" spans="2:8" x14ac:dyDescent="0.3">
      <c r="B186" s="35" t="s">
        <v>293</v>
      </c>
      <c r="C186" s="35" t="s">
        <v>153</v>
      </c>
      <c r="D186" s="35">
        <v>0</v>
      </c>
      <c r="E186" s="35">
        <v>0.54999999999995453</v>
      </c>
      <c r="F186" s="35">
        <v>3.5</v>
      </c>
      <c r="G186" s="35">
        <v>1E+30</v>
      </c>
      <c r="H186" s="35">
        <v>0.54999999999995453</v>
      </c>
    </row>
    <row r="187" spans="2:8" x14ac:dyDescent="0.3">
      <c r="B187" s="35" t="s">
        <v>294</v>
      </c>
      <c r="C187" s="35" t="s">
        <v>155</v>
      </c>
      <c r="D187" s="35">
        <v>0</v>
      </c>
      <c r="E187" s="35">
        <v>4.4999999999999574</v>
      </c>
      <c r="F187" s="35">
        <v>5.75</v>
      </c>
      <c r="G187" s="35">
        <v>1E+30</v>
      </c>
      <c r="H187" s="35">
        <v>4.4999999999999574</v>
      </c>
    </row>
    <row r="188" spans="2:8" x14ac:dyDescent="0.3">
      <c r="B188" s="35" t="s">
        <v>295</v>
      </c>
      <c r="C188" s="35" t="s">
        <v>157</v>
      </c>
      <c r="D188" s="35">
        <v>0</v>
      </c>
      <c r="E188" s="35">
        <v>0.29999999999995453</v>
      </c>
      <c r="F188" s="35">
        <v>4</v>
      </c>
      <c r="G188" s="35">
        <v>1E+30</v>
      </c>
      <c r="H188" s="35">
        <v>0.29999999999995453</v>
      </c>
    </row>
    <row r="189" spans="2:8" x14ac:dyDescent="0.3">
      <c r="B189" s="35" t="s">
        <v>296</v>
      </c>
      <c r="C189" s="35" t="s">
        <v>159</v>
      </c>
      <c r="D189" s="35">
        <v>0</v>
      </c>
      <c r="E189" s="35">
        <v>1</v>
      </c>
      <c r="F189" s="35">
        <v>4</v>
      </c>
      <c r="G189" s="35">
        <v>1E+30</v>
      </c>
      <c r="H189" s="35">
        <v>1</v>
      </c>
    </row>
    <row r="190" spans="2:8" x14ac:dyDescent="0.3">
      <c r="B190" s="35" t="s">
        <v>297</v>
      </c>
      <c r="C190" s="35" t="s">
        <v>161</v>
      </c>
      <c r="D190" s="35">
        <v>0</v>
      </c>
      <c r="E190" s="35">
        <v>0.19999999999998863</v>
      </c>
      <c r="F190" s="35">
        <v>4</v>
      </c>
      <c r="G190" s="35">
        <v>1E+30</v>
      </c>
      <c r="H190" s="35">
        <v>0.19999999999998863</v>
      </c>
    </row>
    <row r="191" spans="2:8" x14ac:dyDescent="0.3">
      <c r="B191" s="35" t="s">
        <v>298</v>
      </c>
      <c r="C191" s="35" t="s">
        <v>163</v>
      </c>
      <c r="D191" s="35">
        <v>0</v>
      </c>
      <c r="E191" s="35">
        <v>0.44999999999998863</v>
      </c>
      <c r="F191" s="35">
        <v>3.75</v>
      </c>
      <c r="G191" s="35">
        <v>1E+30</v>
      </c>
      <c r="H191" s="35">
        <v>0.44999999999998863</v>
      </c>
    </row>
    <row r="192" spans="2:8" x14ac:dyDescent="0.3">
      <c r="B192" s="35" t="s">
        <v>299</v>
      </c>
      <c r="C192" s="35" t="s">
        <v>165</v>
      </c>
      <c r="D192" s="35">
        <v>0</v>
      </c>
      <c r="E192" s="35">
        <v>0.19999999999998863</v>
      </c>
      <c r="F192" s="35">
        <v>3.75</v>
      </c>
      <c r="G192" s="35">
        <v>1E+30</v>
      </c>
      <c r="H192" s="35">
        <v>0.19999999999998863</v>
      </c>
    </row>
    <row r="193" spans="1:8" x14ac:dyDescent="0.3">
      <c r="B193" s="35" t="s">
        <v>300</v>
      </c>
      <c r="C193" s="35" t="s">
        <v>167</v>
      </c>
      <c r="D193" s="35">
        <v>0</v>
      </c>
      <c r="E193" s="35">
        <v>0.39999999999999147</v>
      </c>
      <c r="F193" s="35">
        <v>3.75</v>
      </c>
      <c r="G193" s="35">
        <v>1E+30</v>
      </c>
      <c r="H193" s="35">
        <v>0.39999999999999147</v>
      </c>
    </row>
    <row r="194" spans="1:8" x14ac:dyDescent="0.3">
      <c r="B194" s="35" t="s">
        <v>301</v>
      </c>
      <c r="C194" s="35" t="s">
        <v>169</v>
      </c>
      <c r="D194" s="35">
        <v>12500</v>
      </c>
      <c r="E194" s="35">
        <v>0</v>
      </c>
      <c r="F194" s="35">
        <v>3.5</v>
      </c>
      <c r="G194" s="35">
        <v>0.19999999999998863</v>
      </c>
      <c r="H194" s="35">
        <v>5.0000000000011369E-2</v>
      </c>
    </row>
    <row r="195" spans="1:8" x14ac:dyDescent="0.3">
      <c r="B195" s="35" t="s">
        <v>302</v>
      </c>
      <c r="C195" s="35" t="s">
        <v>171</v>
      </c>
      <c r="D195" s="35">
        <v>0</v>
      </c>
      <c r="E195" s="35">
        <v>0</v>
      </c>
      <c r="F195" s="35">
        <v>4</v>
      </c>
      <c r="G195" s="39">
        <v>1E+30</v>
      </c>
      <c r="H195" s="35">
        <v>0</v>
      </c>
    </row>
    <row r="196" spans="1:8" x14ac:dyDescent="0.3">
      <c r="B196" s="35" t="s">
        <v>303</v>
      </c>
      <c r="C196" s="35" t="s">
        <v>173</v>
      </c>
      <c r="D196" s="35">
        <v>0</v>
      </c>
      <c r="E196" s="35">
        <v>0.55000000000003979</v>
      </c>
      <c r="F196" s="35">
        <v>4</v>
      </c>
      <c r="G196" s="35">
        <v>1E+30</v>
      </c>
      <c r="H196" s="35">
        <v>0.55000000000003979</v>
      </c>
    </row>
    <row r="197" spans="1:8" x14ac:dyDescent="0.3">
      <c r="B197" s="35" t="s">
        <v>304</v>
      </c>
      <c r="C197" s="35" t="s">
        <v>175</v>
      </c>
      <c r="D197" s="35">
        <v>2500</v>
      </c>
      <c r="E197" s="35">
        <v>0</v>
      </c>
      <c r="F197" s="35">
        <v>4</v>
      </c>
      <c r="G197" s="35">
        <v>0</v>
      </c>
      <c r="H197" s="35">
        <v>0.45000000000004547</v>
      </c>
    </row>
    <row r="198" spans="1:8" x14ac:dyDescent="0.3">
      <c r="B198" s="35" t="s">
        <v>305</v>
      </c>
      <c r="C198" s="35" t="s">
        <v>177</v>
      </c>
      <c r="D198" s="35">
        <v>0</v>
      </c>
      <c r="E198" s="35">
        <v>0.54999999999998295</v>
      </c>
      <c r="F198" s="35">
        <v>4</v>
      </c>
      <c r="G198" s="35">
        <v>1E+30</v>
      </c>
      <c r="H198" s="35">
        <v>0.54999999999998295</v>
      </c>
    </row>
    <row r="199" spans="1:8" x14ac:dyDescent="0.3">
      <c r="B199" s="35" t="s">
        <v>306</v>
      </c>
      <c r="C199" s="35" t="s">
        <v>179</v>
      </c>
      <c r="D199" s="35">
        <v>0</v>
      </c>
      <c r="E199" s="35">
        <v>0.79999999999999716</v>
      </c>
      <c r="F199" s="35">
        <v>4</v>
      </c>
      <c r="G199" s="35">
        <v>1E+30</v>
      </c>
      <c r="H199" s="35">
        <v>0.79999999999999716</v>
      </c>
    </row>
    <row r="200" spans="1:8" ht="15" thickBot="1" x14ac:dyDescent="0.35">
      <c r="B200" s="33" t="s">
        <v>307</v>
      </c>
      <c r="C200" s="33" t="s">
        <v>181</v>
      </c>
      <c r="D200" s="33">
        <v>30000</v>
      </c>
      <c r="E200" s="33">
        <v>0</v>
      </c>
      <c r="F200" s="33">
        <v>3.7999999999999545</v>
      </c>
      <c r="G200" s="33">
        <v>0.29999999999999716</v>
      </c>
      <c r="H200" s="33">
        <v>0.20000000000000284</v>
      </c>
    </row>
    <row r="202" spans="1:8" ht="15" thickBot="1" x14ac:dyDescent="0.35">
      <c r="A202" t="s">
        <v>308</v>
      </c>
    </row>
    <row r="203" spans="1:8" x14ac:dyDescent="0.3">
      <c r="B203" s="37"/>
      <c r="C203" s="37"/>
      <c r="D203" s="37" t="s">
        <v>414</v>
      </c>
      <c r="E203" s="37" t="s">
        <v>422</v>
      </c>
      <c r="F203" s="37" t="s">
        <v>423</v>
      </c>
      <c r="G203" s="37" t="s">
        <v>416</v>
      </c>
      <c r="H203" s="37" t="s">
        <v>416</v>
      </c>
    </row>
    <row r="204" spans="1:8" ht="15" thickBot="1" x14ac:dyDescent="0.35">
      <c r="B204" s="38" t="s">
        <v>77</v>
      </c>
      <c r="C204" s="38" t="s">
        <v>78</v>
      </c>
      <c r="D204" s="38" t="s">
        <v>417</v>
      </c>
      <c r="E204" s="38" t="s">
        <v>424</v>
      </c>
      <c r="F204" s="38" t="s">
        <v>425</v>
      </c>
      <c r="G204" s="38" t="s">
        <v>420</v>
      </c>
      <c r="H204" s="38" t="s">
        <v>421</v>
      </c>
    </row>
    <row r="205" spans="1:8" x14ac:dyDescent="0.3">
      <c r="B205" s="35" t="s">
        <v>569</v>
      </c>
      <c r="C205" s="35" t="s">
        <v>48</v>
      </c>
      <c r="D205" s="35">
        <v>10000</v>
      </c>
      <c r="E205" s="35">
        <v>2.8500000000000227</v>
      </c>
      <c r="F205" s="35">
        <v>10000</v>
      </c>
      <c r="G205" s="35">
        <v>2500</v>
      </c>
      <c r="H205" s="35">
        <v>10000</v>
      </c>
    </row>
    <row r="206" spans="1:8" x14ac:dyDescent="0.3">
      <c r="B206" s="35" t="s">
        <v>571</v>
      </c>
      <c r="C206" s="35" t="s">
        <v>48</v>
      </c>
      <c r="D206" s="35">
        <v>7500</v>
      </c>
      <c r="E206" s="35">
        <v>3.5</v>
      </c>
      <c r="F206" s="35">
        <v>7500</v>
      </c>
      <c r="G206" s="35">
        <v>0</v>
      </c>
      <c r="H206" s="35">
        <v>7500</v>
      </c>
    </row>
    <row r="207" spans="1:8" x14ac:dyDescent="0.3">
      <c r="B207" s="35" t="s">
        <v>313</v>
      </c>
      <c r="C207" s="35" t="s">
        <v>48</v>
      </c>
      <c r="D207" s="35">
        <v>10000</v>
      </c>
      <c r="E207" s="35">
        <v>5</v>
      </c>
      <c r="F207" s="35">
        <v>10000</v>
      </c>
      <c r="G207" s="35">
        <v>10000</v>
      </c>
      <c r="H207" s="35">
        <v>2500</v>
      </c>
    </row>
    <row r="208" spans="1:8" x14ac:dyDescent="0.3">
      <c r="B208" s="35" t="s">
        <v>316</v>
      </c>
      <c r="C208" s="35" t="s">
        <v>48</v>
      </c>
      <c r="D208" s="35">
        <v>27500</v>
      </c>
      <c r="E208" s="35">
        <v>3.5499999999999545</v>
      </c>
      <c r="F208" s="35">
        <v>27500</v>
      </c>
      <c r="G208" s="35">
        <v>2500</v>
      </c>
      <c r="H208" s="35">
        <v>15000</v>
      </c>
    </row>
    <row r="209" spans="2:8" x14ac:dyDescent="0.3">
      <c r="B209" s="35" t="s">
        <v>318</v>
      </c>
      <c r="C209" s="35" t="s">
        <v>48</v>
      </c>
      <c r="D209" s="35">
        <v>12500</v>
      </c>
      <c r="E209" s="35">
        <v>4.3000000000000114</v>
      </c>
      <c r="F209" s="35">
        <v>12500</v>
      </c>
      <c r="G209" s="35">
        <v>0</v>
      </c>
      <c r="H209" s="35">
        <v>12500</v>
      </c>
    </row>
    <row r="210" spans="2:8" x14ac:dyDescent="0.3">
      <c r="B210" s="35" t="s">
        <v>320</v>
      </c>
      <c r="C210" s="35" t="s">
        <v>48</v>
      </c>
      <c r="D210" s="35">
        <v>22500</v>
      </c>
      <c r="E210" s="35">
        <v>4.4499999999999602</v>
      </c>
      <c r="F210" s="35">
        <v>22500</v>
      </c>
      <c r="G210" s="35">
        <v>10000</v>
      </c>
      <c r="H210" s="35">
        <v>0</v>
      </c>
    </row>
    <row r="211" spans="2:8" x14ac:dyDescent="0.3">
      <c r="B211" s="35" t="s">
        <v>322</v>
      </c>
      <c r="C211" s="35" t="s">
        <v>48</v>
      </c>
      <c r="D211" s="35">
        <v>25000</v>
      </c>
      <c r="E211" s="35">
        <v>4.2999999999999545</v>
      </c>
      <c r="F211" s="35">
        <v>25000</v>
      </c>
      <c r="G211" s="35">
        <v>2500</v>
      </c>
      <c r="H211" s="35">
        <v>15000</v>
      </c>
    </row>
    <row r="212" spans="2:8" x14ac:dyDescent="0.3">
      <c r="B212" s="35" t="s">
        <v>324</v>
      </c>
      <c r="C212" s="35" t="s">
        <v>48</v>
      </c>
      <c r="D212" s="35">
        <v>25000</v>
      </c>
      <c r="E212" s="35">
        <v>3.8000000000000114</v>
      </c>
      <c r="F212" s="35">
        <v>25000</v>
      </c>
      <c r="G212" s="35">
        <v>0</v>
      </c>
      <c r="H212" s="35">
        <v>12500</v>
      </c>
    </row>
    <row r="213" spans="2:8" x14ac:dyDescent="0.3">
      <c r="B213" s="35" t="s">
        <v>326</v>
      </c>
      <c r="C213" s="35" t="s">
        <v>48</v>
      </c>
      <c r="D213" s="35">
        <v>25000</v>
      </c>
      <c r="E213" s="35">
        <v>2.5</v>
      </c>
      <c r="F213" s="35">
        <v>25000</v>
      </c>
      <c r="G213" s="35">
        <v>20000</v>
      </c>
      <c r="H213" s="35">
        <v>5000</v>
      </c>
    </row>
    <row r="214" spans="2:8" x14ac:dyDescent="0.3">
      <c r="B214" s="35" t="s">
        <v>328</v>
      </c>
      <c r="C214" s="35" t="s">
        <v>48</v>
      </c>
      <c r="D214" s="35">
        <v>32500</v>
      </c>
      <c r="E214" s="35">
        <v>3.75</v>
      </c>
      <c r="F214" s="35">
        <v>32500</v>
      </c>
      <c r="G214" s="35">
        <v>2500</v>
      </c>
      <c r="H214" s="35">
        <v>32500</v>
      </c>
    </row>
    <row r="215" spans="2:8" x14ac:dyDescent="0.3">
      <c r="B215" s="35" t="s">
        <v>330</v>
      </c>
      <c r="C215" s="35" t="s">
        <v>48</v>
      </c>
      <c r="D215" s="35">
        <v>32500</v>
      </c>
      <c r="E215" s="35">
        <v>4.0500000000000114</v>
      </c>
      <c r="F215" s="35">
        <v>32500</v>
      </c>
      <c r="G215" s="35">
        <v>0</v>
      </c>
      <c r="H215" s="35">
        <v>7500</v>
      </c>
    </row>
    <row r="216" spans="2:8" x14ac:dyDescent="0.3">
      <c r="B216" s="35" t="s">
        <v>332</v>
      </c>
      <c r="C216" s="35" t="s">
        <v>48</v>
      </c>
      <c r="D216" s="35">
        <v>35000</v>
      </c>
      <c r="E216" s="35">
        <v>4.4500000000000171</v>
      </c>
      <c r="F216" s="35">
        <v>35000</v>
      </c>
      <c r="G216" s="35">
        <v>17500</v>
      </c>
      <c r="H216" s="35">
        <v>0</v>
      </c>
    </row>
    <row r="217" spans="2:8" x14ac:dyDescent="0.3">
      <c r="B217" s="35" t="s">
        <v>334</v>
      </c>
      <c r="C217" s="35" t="s">
        <v>48</v>
      </c>
      <c r="D217" s="35">
        <v>27500</v>
      </c>
      <c r="E217" s="35">
        <v>2.0499999999999972</v>
      </c>
      <c r="F217" s="35">
        <v>27500</v>
      </c>
      <c r="G217" s="35">
        <v>5000</v>
      </c>
      <c r="H217" s="35">
        <v>27500</v>
      </c>
    </row>
    <row r="218" spans="2:8" x14ac:dyDescent="0.3">
      <c r="B218" s="35" t="s">
        <v>336</v>
      </c>
      <c r="C218" s="35" t="s">
        <v>48</v>
      </c>
      <c r="D218" s="35">
        <v>27500</v>
      </c>
      <c r="E218" s="35">
        <v>3.8500000000000085</v>
      </c>
      <c r="F218" s="35">
        <v>27500</v>
      </c>
      <c r="G218" s="35">
        <v>0</v>
      </c>
      <c r="H218" s="35">
        <v>12500</v>
      </c>
    </row>
    <row r="219" spans="2:8" x14ac:dyDescent="0.3">
      <c r="B219" s="35" t="s">
        <v>338</v>
      </c>
      <c r="C219" s="35" t="s">
        <v>48</v>
      </c>
      <c r="D219" s="35">
        <v>30000</v>
      </c>
      <c r="E219" s="35">
        <v>4.2000000000000028</v>
      </c>
      <c r="F219" s="35">
        <v>30000</v>
      </c>
      <c r="G219" s="35">
        <v>17500</v>
      </c>
      <c r="H219" s="35">
        <v>15000</v>
      </c>
    </row>
    <row r="220" spans="2:8" x14ac:dyDescent="0.3">
      <c r="B220" s="35" t="s">
        <v>340</v>
      </c>
      <c r="C220" s="35" t="s">
        <v>48</v>
      </c>
      <c r="D220" s="35">
        <v>30000</v>
      </c>
      <c r="E220" s="35">
        <v>4.5</v>
      </c>
      <c r="F220" s="35">
        <v>30000</v>
      </c>
      <c r="G220" s="35">
        <v>2500</v>
      </c>
      <c r="H220" s="35">
        <v>15000</v>
      </c>
    </row>
    <row r="221" spans="2:8" x14ac:dyDescent="0.3">
      <c r="B221" s="35" t="s">
        <v>342</v>
      </c>
      <c r="C221" s="35" t="s">
        <v>48</v>
      </c>
      <c r="D221" s="35">
        <v>32500</v>
      </c>
      <c r="E221" s="35">
        <v>4</v>
      </c>
      <c r="F221" s="35">
        <v>32500</v>
      </c>
      <c r="G221" s="35">
        <v>20000</v>
      </c>
      <c r="H221" s="35">
        <v>12500</v>
      </c>
    </row>
    <row r="222" spans="2:8" x14ac:dyDescent="0.3">
      <c r="B222" s="35" t="s">
        <v>344</v>
      </c>
      <c r="C222" s="35" t="s">
        <v>48</v>
      </c>
      <c r="D222" s="35">
        <v>55000</v>
      </c>
      <c r="E222" s="35">
        <v>4.7999999999999545</v>
      </c>
      <c r="F222" s="35">
        <v>55000</v>
      </c>
      <c r="G222" s="35">
        <v>10000</v>
      </c>
      <c r="H222" s="35">
        <v>25000</v>
      </c>
    </row>
    <row r="223" spans="2:8" x14ac:dyDescent="0.3">
      <c r="B223" s="35" t="s">
        <v>346</v>
      </c>
      <c r="C223" s="35" t="s">
        <v>347</v>
      </c>
      <c r="D223" s="35">
        <v>27500</v>
      </c>
      <c r="E223" s="35">
        <v>0</v>
      </c>
      <c r="F223" s="35">
        <v>32500</v>
      </c>
      <c r="G223" s="35">
        <v>1E+30</v>
      </c>
      <c r="H223" s="35">
        <v>5000</v>
      </c>
    </row>
    <row r="224" spans="2:8" x14ac:dyDescent="0.3">
      <c r="B224" s="35" t="s">
        <v>350</v>
      </c>
      <c r="C224" s="35" t="s">
        <v>351</v>
      </c>
      <c r="D224" s="35">
        <v>32500</v>
      </c>
      <c r="E224" s="35">
        <v>-0.80000000000001137</v>
      </c>
      <c r="F224" s="35">
        <v>32500</v>
      </c>
      <c r="G224" s="35">
        <v>12500</v>
      </c>
      <c r="H224" s="35">
        <v>0</v>
      </c>
    </row>
    <row r="225" spans="2:8" x14ac:dyDescent="0.3">
      <c r="B225" s="35" t="s">
        <v>353</v>
      </c>
      <c r="C225" s="35" t="s">
        <v>354</v>
      </c>
      <c r="D225" s="35">
        <v>32500</v>
      </c>
      <c r="E225" s="35">
        <v>-0.54999999999997584</v>
      </c>
      <c r="F225" s="35">
        <v>32500</v>
      </c>
      <c r="G225" s="35">
        <v>0</v>
      </c>
      <c r="H225" s="35">
        <v>10000</v>
      </c>
    </row>
    <row r="226" spans="2:8" x14ac:dyDescent="0.3">
      <c r="B226" s="35" t="s">
        <v>356</v>
      </c>
      <c r="C226" s="35" t="s">
        <v>347</v>
      </c>
      <c r="D226" s="35">
        <v>25000</v>
      </c>
      <c r="E226" s="35">
        <v>-0.54999999999995453</v>
      </c>
      <c r="F226" s="35">
        <v>25000</v>
      </c>
      <c r="G226" s="35">
        <v>15000</v>
      </c>
      <c r="H226" s="35">
        <v>2500</v>
      </c>
    </row>
    <row r="227" spans="2:8" x14ac:dyDescent="0.3">
      <c r="B227" s="35" t="s">
        <v>358</v>
      </c>
      <c r="C227" s="35" t="s">
        <v>351</v>
      </c>
      <c r="D227" s="35">
        <v>25000</v>
      </c>
      <c r="E227" s="35">
        <v>-0.39999999999996305</v>
      </c>
      <c r="F227" s="35">
        <v>25000</v>
      </c>
      <c r="G227" s="35">
        <v>7500</v>
      </c>
      <c r="H227" s="35">
        <v>0</v>
      </c>
    </row>
    <row r="228" spans="2:8" x14ac:dyDescent="0.3">
      <c r="B228" s="35" t="s">
        <v>360</v>
      </c>
      <c r="C228" s="35" t="s">
        <v>354</v>
      </c>
      <c r="D228" s="35">
        <v>25000</v>
      </c>
      <c r="E228" s="35">
        <v>-1.6499999999999915</v>
      </c>
      <c r="F228" s="35">
        <v>25000</v>
      </c>
      <c r="G228" s="35">
        <v>0</v>
      </c>
      <c r="H228" s="35">
        <v>17500</v>
      </c>
    </row>
    <row r="229" spans="2:8" x14ac:dyDescent="0.3">
      <c r="B229" s="35" t="s">
        <v>362</v>
      </c>
      <c r="C229" s="35" t="s">
        <v>347</v>
      </c>
      <c r="D229" s="35">
        <v>20000</v>
      </c>
      <c r="E229" s="35">
        <v>-1.1000000000000227</v>
      </c>
      <c r="F229" s="35">
        <v>20000</v>
      </c>
      <c r="G229" s="35">
        <v>15000</v>
      </c>
      <c r="H229" s="35">
        <v>2500</v>
      </c>
    </row>
    <row r="230" spans="2:8" x14ac:dyDescent="0.3">
      <c r="B230" s="35" t="s">
        <v>364</v>
      </c>
      <c r="C230" s="35" t="s">
        <v>351</v>
      </c>
      <c r="D230" s="35">
        <v>20000</v>
      </c>
      <c r="E230" s="35">
        <v>-0.89999999999997726</v>
      </c>
      <c r="F230" s="35">
        <v>20000</v>
      </c>
      <c r="G230" s="35">
        <v>12500</v>
      </c>
      <c r="H230" s="35">
        <v>20000</v>
      </c>
    </row>
    <row r="231" spans="2:8" x14ac:dyDescent="0.3">
      <c r="B231" s="35" t="s">
        <v>366</v>
      </c>
      <c r="C231" s="35" t="s">
        <v>354</v>
      </c>
      <c r="D231" s="35">
        <v>20000</v>
      </c>
      <c r="E231" s="35">
        <v>-1.3500000000000014</v>
      </c>
      <c r="F231" s="35">
        <v>20000</v>
      </c>
      <c r="G231" s="35">
        <v>2500</v>
      </c>
      <c r="H231" s="35">
        <v>10000</v>
      </c>
    </row>
    <row r="232" spans="2:8" x14ac:dyDescent="0.3">
      <c r="B232" s="35" t="s">
        <v>368</v>
      </c>
      <c r="C232" s="35" t="s">
        <v>347</v>
      </c>
      <c r="D232" s="35">
        <v>32500</v>
      </c>
      <c r="E232" s="35">
        <v>-0.29999999999995453</v>
      </c>
      <c r="F232" s="35">
        <v>32500</v>
      </c>
      <c r="G232" s="35">
        <v>15000</v>
      </c>
      <c r="H232" s="35">
        <v>2500</v>
      </c>
    </row>
    <row r="233" spans="2:8" x14ac:dyDescent="0.3">
      <c r="B233" s="35" t="s">
        <v>370</v>
      </c>
      <c r="C233" s="35" t="s">
        <v>351</v>
      </c>
      <c r="D233" s="35">
        <v>12500</v>
      </c>
      <c r="E233" s="35">
        <v>0</v>
      </c>
      <c r="F233" s="35">
        <v>32500</v>
      </c>
      <c r="G233" s="35">
        <v>1E+30</v>
      </c>
      <c r="H233" s="35">
        <v>20000</v>
      </c>
    </row>
    <row r="234" spans="2:8" x14ac:dyDescent="0.3">
      <c r="B234" s="35" t="s">
        <v>372</v>
      </c>
      <c r="C234" s="35" t="s">
        <v>354</v>
      </c>
      <c r="D234" s="35">
        <v>32500</v>
      </c>
      <c r="E234" s="35">
        <v>-0.29999999999999716</v>
      </c>
      <c r="F234" s="35">
        <v>32500</v>
      </c>
      <c r="G234" s="35">
        <v>25000</v>
      </c>
      <c r="H234" s="35">
        <v>10000</v>
      </c>
    </row>
    <row r="235" spans="2:8" x14ac:dyDescent="0.3">
      <c r="B235" s="35" t="s">
        <v>346</v>
      </c>
      <c r="C235" s="35" t="s">
        <v>347</v>
      </c>
      <c r="D235" s="35">
        <v>27500</v>
      </c>
      <c r="E235" s="35">
        <v>-0.79999999999999716</v>
      </c>
      <c r="F235" s="35">
        <v>0</v>
      </c>
      <c r="G235" s="35">
        <v>27500</v>
      </c>
      <c r="H235" s="35">
        <v>17500</v>
      </c>
    </row>
    <row r="236" spans="2:8" x14ac:dyDescent="0.3">
      <c r="B236" s="35" t="s">
        <v>350</v>
      </c>
      <c r="C236" s="35" t="s">
        <v>351</v>
      </c>
      <c r="D236" s="35">
        <v>32500</v>
      </c>
      <c r="E236" s="35">
        <v>-0.5</v>
      </c>
      <c r="F236" s="35">
        <v>0</v>
      </c>
      <c r="G236" s="35">
        <v>32500</v>
      </c>
      <c r="H236" s="35">
        <v>32500</v>
      </c>
    </row>
    <row r="237" spans="2:8" x14ac:dyDescent="0.3">
      <c r="B237" s="35" t="s">
        <v>353</v>
      </c>
      <c r="C237" s="35" t="s">
        <v>354</v>
      </c>
      <c r="D237" s="35">
        <v>32500</v>
      </c>
      <c r="E237" s="35">
        <v>-0.69999999999999574</v>
      </c>
      <c r="F237" s="35">
        <v>0</v>
      </c>
      <c r="G237" s="35">
        <v>32500</v>
      </c>
      <c r="H237" s="35">
        <v>27500</v>
      </c>
    </row>
    <row r="238" spans="2:8" x14ac:dyDescent="0.3">
      <c r="B238" s="35" t="s">
        <v>356</v>
      </c>
      <c r="C238" s="35" t="s">
        <v>347</v>
      </c>
      <c r="D238" s="35">
        <v>25000</v>
      </c>
      <c r="E238" s="35">
        <v>-0.75</v>
      </c>
      <c r="F238" s="35">
        <v>0</v>
      </c>
      <c r="G238" s="35">
        <v>25000</v>
      </c>
      <c r="H238" s="35">
        <v>22500</v>
      </c>
    </row>
    <row r="239" spans="2:8" x14ac:dyDescent="0.3">
      <c r="B239" s="35" t="s">
        <v>358</v>
      </c>
      <c r="C239" s="35" t="s">
        <v>351</v>
      </c>
      <c r="D239" s="35">
        <v>25000</v>
      </c>
      <c r="E239" s="35">
        <v>-0.45000000000000284</v>
      </c>
      <c r="F239" s="35">
        <v>0</v>
      </c>
      <c r="G239" s="35">
        <v>25000</v>
      </c>
      <c r="H239" s="35">
        <v>15000</v>
      </c>
    </row>
    <row r="240" spans="2:8" x14ac:dyDescent="0.3">
      <c r="B240" s="35" t="s">
        <v>360</v>
      </c>
      <c r="C240" s="35" t="s">
        <v>354</v>
      </c>
      <c r="D240" s="35">
        <v>25000</v>
      </c>
      <c r="E240" s="35">
        <v>-0.70000000000000284</v>
      </c>
      <c r="F240" s="35">
        <v>0</v>
      </c>
      <c r="G240" s="35">
        <v>25000</v>
      </c>
      <c r="H240" s="35">
        <v>27500</v>
      </c>
    </row>
    <row r="241" spans="2:8" x14ac:dyDescent="0.3">
      <c r="B241" s="35" t="s">
        <v>362</v>
      </c>
      <c r="C241" s="35" t="s">
        <v>347</v>
      </c>
      <c r="D241" s="35">
        <v>20000</v>
      </c>
      <c r="E241" s="35">
        <v>-0.5</v>
      </c>
      <c r="F241" s="35">
        <v>0</v>
      </c>
      <c r="G241" s="35">
        <v>20000</v>
      </c>
      <c r="H241" s="35">
        <v>22500</v>
      </c>
    </row>
    <row r="242" spans="2:8" x14ac:dyDescent="0.3">
      <c r="B242" s="35" t="s">
        <v>364</v>
      </c>
      <c r="C242" s="35" t="s">
        <v>351</v>
      </c>
      <c r="D242" s="35">
        <v>20000</v>
      </c>
      <c r="E242" s="35">
        <v>-0.5</v>
      </c>
      <c r="F242" s="35">
        <v>0</v>
      </c>
      <c r="G242" s="35">
        <v>20000</v>
      </c>
      <c r="H242" s="35">
        <v>32500</v>
      </c>
    </row>
    <row r="243" spans="2:8" x14ac:dyDescent="0.3">
      <c r="B243" s="35" t="s">
        <v>366</v>
      </c>
      <c r="C243" s="35" t="s">
        <v>354</v>
      </c>
      <c r="D243" s="35">
        <v>20000</v>
      </c>
      <c r="E243" s="35">
        <v>-0.64999999999999858</v>
      </c>
      <c r="F243" s="35">
        <v>0</v>
      </c>
      <c r="G243" s="35">
        <v>20000</v>
      </c>
      <c r="H243" s="35">
        <v>10000</v>
      </c>
    </row>
    <row r="244" spans="2:8" x14ac:dyDescent="0.3">
      <c r="B244" s="35" t="s">
        <v>368</v>
      </c>
      <c r="C244" s="35" t="s">
        <v>347</v>
      </c>
      <c r="D244" s="35">
        <v>32500</v>
      </c>
      <c r="E244" s="35">
        <v>-0.5</v>
      </c>
      <c r="F244" s="35">
        <v>0</v>
      </c>
      <c r="G244" s="35">
        <v>32500</v>
      </c>
      <c r="H244" s="35">
        <v>22500</v>
      </c>
    </row>
    <row r="245" spans="2:8" x14ac:dyDescent="0.3">
      <c r="B245" s="35" t="s">
        <v>370</v>
      </c>
      <c r="C245" s="35" t="s">
        <v>351</v>
      </c>
      <c r="D245" s="35">
        <v>12500</v>
      </c>
      <c r="E245" s="35">
        <v>-0.5</v>
      </c>
      <c r="F245" s="35">
        <v>0</v>
      </c>
      <c r="G245" s="35">
        <v>12500</v>
      </c>
      <c r="H245" s="35">
        <v>32500</v>
      </c>
    </row>
    <row r="246" spans="2:8" x14ac:dyDescent="0.3">
      <c r="B246" s="35" t="s">
        <v>372</v>
      </c>
      <c r="C246" s="35" t="s">
        <v>354</v>
      </c>
      <c r="D246" s="35">
        <v>32500</v>
      </c>
      <c r="E246" s="35">
        <v>-0.70000000000000284</v>
      </c>
      <c r="F246" s="35">
        <v>0</v>
      </c>
      <c r="G246" s="35">
        <v>15000</v>
      </c>
      <c r="H246" s="35">
        <v>27500</v>
      </c>
    </row>
    <row r="247" spans="2:8" x14ac:dyDescent="0.3">
      <c r="B247" s="35" t="s">
        <v>386</v>
      </c>
      <c r="C247" s="35" t="s">
        <v>387</v>
      </c>
      <c r="D247" s="35">
        <v>47500</v>
      </c>
      <c r="E247" s="35">
        <v>0</v>
      </c>
      <c r="F247" s="35">
        <v>50000</v>
      </c>
      <c r="G247" s="35">
        <v>1E+30</v>
      </c>
      <c r="H247" s="35">
        <v>2500</v>
      </c>
    </row>
    <row r="248" spans="2:8" x14ac:dyDescent="0.3">
      <c r="B248" s="35" t="s">
        <v>389</v>
      </c>
      <c r="C248" s="35" t="s">
        <v>390</v>
      </c>
      <c r="D248" s="35">
        <v>47500</v>
      </c>
      <c r="E248" s="35">
        <v>-5.0000000000011369E-2</v>
      </c>
      <c r="F248" s="35">
        <v>47500</v>
      </c>
      <c r="G248" s="35">
        <v>12500</v>
      </c>
      <c r="H248" s="35">
        <v>0</v>
      </c>
    </row>
    <row r="249" spans="2:8" x14ac:dyDescent="0.3">
      <c r="B249" s="35" t="s">
        <v>392</v>
      </c>
      <c r="C249" s="35" t="s">
        <v>393</v>
      </c>
      <c r="D249" s="35">
        <v>47500</v>
      </c>
      <c r="E249" s="35">
        <v>-0.20000000000000284</v>
      </c>
      <c r="F249" s="35">
        <v>47500</v>
      </c>
      <c r="G249" s="35">
        <v>15000</v>
      </c>
      <c r="H249" s="35">
        <v>17500</v>
      </c>
    </row>
    <row r="250" spans="2:8" x14ac:dyDescent="0.3">
      <c r="B250" s="35" t="s">
        <v>395</v>
      </c>
      <c r="C250" s="35" t="s">
        <v>387</v>
      </c>
      <c r="D250" s="35">
        <v>0</v>
      </c>
      <c r="E250" s="35">
        <v>0</v>
      </c>
      <c r="F250" s="35">
        <v>37500</v>
      </c>
      <c r="G250" s="35">
        <v>1E+30</v>
      </c>
      <c r="H250" s="35">
        <v>37500</v>
      </c>
    </row>
    <row r="251" spans="2:8" x14ac:dyDescent="0.3">
      <c r="B251" s="35" t="s">
        <v>397</v>
      </c>
      <c r="C251" s="35" t="s">
        <v>390</v>
      </c>
      <c r="D251" s="35">
        <v>0</v>
      </c>
      <c r="E251" s="35">
        <v>0</v>
      </c>
      <c r="F251" s="35">
        <v>30000</v>
      </c>
      <c r="G251" s="35">
        <v>1E+30</v>
      </c>
      <c r="H251" s="35">
        <v>30000</v>
      </c>
    </row>
    <row r="252" spans="2:8" x14ac:dyDescent="0.3">
      <c r="B252" s="35" t="s">
        <v>399</v>
      </c>
      <c r="C252" s="35" t="s">
        <v>393</v>
      </c>
      <c r="D252" s="35">
        <v>0</v>
      </c>
      <c r="E252" s="35">
        <v>0</v>
      </c>
      <c r="F252" s="35">
        <v>30000</v>
      </c>
      <c r="G252" s="35">
        <v>1E+30</v>
      </c>
      <c r="H252" s="35">
        <v>30000</v>
      </c>
    </row>
    <row r="253" spans="2:8" x14ac:dyDescent="0.3">
      <c r="B253" s="35" t="s">
        <v>401</v>
      </c>
      <c r="C253" s="35" t="s">
        <v>387</v>
      </c>
      <c r="D253" s="35">
        <v>77500</v>
      </c>
      <c r="E253" s="35">
        <v>0</v>
      </c>
      <c r="F253" s="35">
        <v>100000</v>
      </c>
      <c r="G253" s="35">
        <v>1E+30</v>
      </c>
      <c r="H253" s="35">
        <v>22500</v>
      </c>
    </row>
    <row r="254" spans="2:8" x14ac:dyDescent="0.3">
      <c r="B254" s="35" t="s">
        <v>403</v>
      </c>
      <c r="C254" s="35" t="s">
        <v>390</v>
      </c>
      <c r="D254" s="35">
        <v>65000</v>
      </c>
      <c r="E254" s="35">
        <v>0</v>
      </c>
      <c r="F254" s="35">
        <v>97500</v>
      </c>
      <c r="G254" s="35">
        <v>1E+30</v>
      </c>
      <c r="H254" s="35">
        <v>32500</v>
      </c>
    </row>
    <row r="255" spans="2:8" x14ac:dyDescent="0.3">
      <c r="B255" s="35" t="s">
        <v>405</v>
      </c>
      <c r="C255" s="35" t="s">
        <v>393</v>
      </c>
      <c r="D255" s="35">
        <v>72500</v>
      </c>
      <c r="E255" s="35">
        <v>0</v>
      </c>
      <c r="F255" s="35">
        <v>100000</v>
      </c>
      <c r="G255" s="35">
        <v>1E+30</v>
      </c>
      <c r="H255" s="35">
        <v>27500</v>
      </c>
    </row>
    <row r="256" spans="2:8" x14ac:dyDescent="0.3">
      <c r="B256" s="35" t="s">
        <v>407</v>
      </c>
      <c r="C256" s="35" t="s">
        <v>387</v>
      </c>
      <c r="D256" s="35">
        <v>27500</v>
      </c>
      <c r="E256" s="35">
        <v>0</v>
      </c>
      <c r="F256" s="35">
        <v>45000</v>
      </c>
      <c r="G256" s="35">
        <v>1E+30</v>
      </c>
      <c r="H256" s="35">
        <v>17500</v>
      </c>
    </row>
    <row r="257" spans="2:8" x14ac:dyDescent="0.3">
      <c r="B257" s="35" t="s">
        <v>409</v>
      </c>
      <c r="C257" s="35" t="s">
        <v>390</v>
      </c>
      <c r="D257" s="35">
        <v>25000</v>
      </c>
      <c r="E257" s="35">
        <v>0</v>
      </c>
      <c r="F257" s="35">
        <v>40000</v>
      </c>
      <c r="G257" s="35">
        <v>1E+30</v>
      </c>
      <c r="H257" s="35">
        <v>15000</v>
      </c>
    </row>
    <row r="258" spans="2:8" ht="15" thickBot="1" x14ac:dyDescent="0.35">
      <c r="B258" s="33" t="s">
        <v>411</v>
      </c>
      <c r="C258" s="33" t="s">
        <v>393</v>
      </c>
      <c r="D258" s="33">
        <v>45000</v>
      </c>
      <c r="E258" s="33">
        <v>0</v>
      </c>
      <c r="F258" s="33">
        <v>55000</v>
      </c>
      <c r="G258" s="33">
        <v>1E+30</v>
      </c>
      <c r="H258" s="33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5AE9-39BB-461F-A878-61626AF30A5C}">
  <dimension ref="A2:Q187"/>
  <sheetViews>
    <sheetView topLeftCell="A22" workbookViewId="0">
      <selection activeCell="G170" sqref="G170"/>
    </sheetView>
  </sheetViews>
  <sheetFormatPr defaultRowHeight="14.4" x14ac:dyDescent="0.3"/>
  <cols>
    <col min="1" max="1" width="13.21875" customWidth="1"/>
    <col min="2" max="2" width="9.44140625" customWidth="1"/>
    <col min="3" max="3" width="17.33203125" customWidth="1"/>
    <col min="4" max="4" width="18.109375" customWidth="1"/>
    <col min="5" max="5" width="14.77734375" customWidth="1"/>
    <col min="6" max="6" width="15.33203125" customWidth="1"/>
    <col min="7" max="7" width="15.88671875" customWidth="1"/>
    <col min="8" max="8" width="13.44140625" customWidth="1"/>
    <col min="11" max="11" width="14.6640625" customWidth="1"/>
    <col min="12" max="12" width="14.33203125" customWidth="1"/>
    <col min="13" max="13" width="16.21875" customWidth="1"/>
    <col min="14" max="14" width="13.21875" customWidth="1"/>
    <col min="15" max="15" width="13" customWidth="1"/>
    <col min="16" max="16" width="13.6640625" customWidth="1"/>
  </cols>
  <sheetData>
    <row r="2" spans="1:15" ht="15" x14ac:dyDescent="0.35">
      <c r="C2" t="s">
        <v>20</v>
      </c>
      <c r="D2" s="7" t="s">
        <v>23</v>
      </c>
      <c r="K2" t="s">
        <v>426</v>
      </c>
    </row>
    <row r="3" spans="1:15" x14ac:dyDescent="0.3">
      <c r="A3" s="1"/>
      <c r="B3" s="2" t="s">
        <v>0</v>
      </c>
      <c r="C3" s="1"/>
      <c r="E3" s="1"/>
      <c r="F3" s="1"/>
    </row>
    <row r="4" spans="1:15" x14ac:dyDescent="0.3">
      <c r="A4" s="1"/>
      <c r="B4" s="1"/>
      <c r="C4" s="1" t="s">
        <v>1</v>
      </c>
      <c r="D4" s="1" t="s">
        <v>2</v>
      </c>
      <c r="E4" s="1" t="s">
        <v>3</v>
      </c>
      <c r="F4" s="1" t="s">
        <v>4</v>
      </c>
      <c r="G4" s="10" t="s">
        <v>21</v>
      </c>
      <c r="K4" s="20" t="s">
        <v>427</v>
      </c>
      <c r="L4" s="20" t="s">
        <v>1</v>
      </c>
      <c r="M4" s="20" t="s">
        <v>2</v>
      </c>
      <c r="N4" s="20" t="s">
        <v>3</v>
      </c>
      <c r="O4" s="20" t="s">
        <v>4</v>
      </c>
    </row>
    <row r="5" spans="1:15" x14ac:dyDescent="0.3">
      <c r="A5" s="1" t="s">
        <v>5</v>
      </c>
      <c r="B5" s="1" t="s">
        <v>6</v>
      </c>
      <c r="C5" s="14">
        <v>0</v>
      </c>
      <c r="D5" s="14">
        <v>0</v>
      </c>
      <c r="E5" s="14">
        <v>0</v>
      </c>
      <c r="F5" s="14">
        <v>0</v>
      </c>
      <c r="G5" s="11">
        <f>SUM(C5:F5)</f>
        <v>0</v>
      </c>
      <c r="K5" s="20" t="s">
        <v>5</v>
      </c>
      <c r="L5" s="21"/>
      <c r="M5" s="21"/>
      <c r="N5" s="21"/>
      <c r="O5" s="21"/>
    </row>
    <row r="6" spans="1:15" x14ac:dyDescent="0.3">
      <c r="A6" s="1"/>
      <c r="B6" s="1" t="s">
        <v>8</v>
      </c>
      <c r="C6" s="14">
        <v>0</v>
      </c>
      <c r="D6" s="14">
        <v>0</v>
      </c>
      <c r="E6" s="14">
        <v>0</v>
      </c>
      <c r="F6" s="14">
        <v>0</v>
      </c>
      <c r="G6" s="11">
        <f t="shared" ref="G6:G16" si="0">SUM(C6:F6)</f>
        <v>0</v>
      </c>
      <c r="K6" s="20" t="s">
        <v>6</v>
      </c>
      <c r="L6" s="21">
        <v>0.2</v>
      </c>
      <c r="M6" s="21">
        <v>0.18</v>
      </c>
      <c r="N6" s="21">
        <v>0.1</v>
      </c>
      <c r="O6" s="21">
        <v>0.08</v>
      </c>
    </row>
    <row r="7" spans="1:15" x14ac:dyDescent="0.3">
      <c r="A7" s="1"/>
      <c r="B7" s="1" t="s">
        <v>9</v>
      </c>
      <c r="C7" s="14">
        <v>0</v>
      </c>
      <c r="D7" s="14">
        <v>0</v>
      </c>
      <c r="E7" s="14">
        <v>0</v>
      </c>
      <c r="F7" s="14">
        <v>0</v>
      </c>
      <c r="G7" s="11">
        <f t="shared" si="0"/>
        <v>0</v>
      </c>
      <c r="K7" s="20" t="s">
        <v>8</v>
      </c>
      <c r="L7" s="21">
        <v>0.2</v>
      </c>
      <c r="M7" s="21">
        <v>0.18</v>
      </c>
      <c r="N7" s="21">
        <v>0.1</v>
      </c>
      <c r="O7" s="21">
        <v>0.08</v>
      </c>
    </row>
    <row r="8" spans="1:15" x14ac:dyDescent="0.3">
      <c r="A8" s="1" t="s">
        <v>10</v>
      </c>
      <c r="B8" s="1" t="s">
        <v>6</v>
      </c>
      <c r="C8" s="14">
        <v>0</v>
      </c>
      <c r="D8" s="14">
        <v>0</v>
      </c>
      <c r="E8" s="14">
        <v>0</v>
      </c>
      <c r="F8" s="14">
        <v>0</v>
      </c>
      <c r="G8" s="11">
        <f t="shared" si="0"/>
        <v>0</v>
      </c>
      <c r="K8" s="20" t="s">
        <v>9</v>
      </c>
      <c r="L8" s="21">
        <v>0.2</v>
      </c>
      <c r="M8" s="21">
        <v>0.18</v>
      </c>
      <c r="N8" s="21">
        <v>0.1</v>
      </c>
      <c r="O8" s="21">
        <v>0.08</v>
      </c>
    </row>
    <row r="9" spans="1:15" x14ac:dyDescent="0.3">
      <c r="A9" s="1"/>
      <c r="B9" s="1" t="s">
        <v>8</v>
      </c>
      <c r="C9" s="14">
        <v>0</v>
      </c>
      <c r="D9" s="14">
        <v>0</v>
      </c>
      <c r="E9" s="14">
        <v>0</v>
      </c>
      <c r="F9" s="14">
        <v>0</v>
      </c>
      <c r="G9" s="11">
        <f t="shared" si="0"/>
        <v>0</v>
      </c>
      <c r="K9" s="20" t="s">
        <v>10</v>
      </c>
      <c r="L9" s="21"/>
      <c r="M9" s="21"/>
      <c r="N9" s="21"/>
      <c r="O9" s="21"/>
    </row>
    <row r="10" spans="1:15" x14ac:dyDescent="0.3">
      <c r="A10" s="1"/>
      <c r="B10" s="1" t="s">
        <v>9</v>
      </c>
      <c r="C10" s="14">
        <v>0</v>
      </c>
      <c r="D10" s="14">
        <v>0</v>
      </c>
      <c r="E10" s="14">
        <v>0</v>
      </c>
      <c r="F10" s="14">
        <v>0</v>
      </c>
      <c r="G10" s="11">
        <f t="shared" si="0"/>
        <v>0</v>
      </c>
      <c r="K10" s="20" t="s">
        <v>6</v>
      </c>
      <c r="L10" s="21">
        <v>0.22</v>
      </c>
      <c r="M10" s="21">
        <v>0.23</v>
      </c>
      <c r="N10" s="21">
        <v>0.3</v>
      </c>
      <c r="O10" s="21">
        <v>0.42</v>
      </c>
    </row>
    <row r="11" spans="1:15" x14ac:dyDescent="0.3">
      <c r="A11" s="1" t="s">
        <v>12</v>
      </c>
      <c r="B11" s="1" t="s">
        <v>6</v>
      </c>
      <c r="C11" s="14">
        <v>0</v>
      </c>
      <c r="D11" s="14">
        <v>0</v>
      </c>
      <c r="E11" s="14">
        <v>0</v>
      </c>
      <c r="F11" s="14">
        <v>0</v>
      </c>
      <c r="G11" s="11">
        <f t="shared" si="0"/>
        <v>0</v>
      </c>
      <c r="K11" s="20" t="s">
        <v>8</v>
      </c>
      <c r="L11" s="21">
        <v>0.22</v>
      </c>
      <c r="M11" s="21">
        <v>0.23</v>
      </c>
      <c r="N11" s="21">
        <v>0.3</v>
      </c>
      <c r="O11" s="21">
        <v>0.42</v>
      </c>
    </row>
    <row r="12" spans="1:15" x14ac:dyDescent="0.3">
      <c r="A12" s="1"/>
      <c r="B12" s="1" t="s">
        <v>8</v>
      </c>
      <c r="C12" s="14">
        <v>0</v>
      </c>
      <c r="D12" s="14">
        <v>0</v>
      </c>
      <c r="E12" s="14">
        <v>0</v>
      </c>
      <c r="F12" s="14">
        <v>0</v>
      </c>
      <c r="G12" s="11">
        <f t="shared" si="0"/>
        <v>0</v>
      </c>
      <c r="K12" s="20" t="s">
        <v>9</v>
      </c>
      <c r="L12" s="21">
        <v>0.22</v>
      </c>
      <c r="M12" s="21">
        <v>0.23</v>
      </c>
      <c r="N12" s="21">
        <v>0.3</v>
      </c>
      <c r="O12" s="21">
        <v>0.42</v>
      </c>
    </row>
    <row r="13" spans="1:15" x14ac:dyDescent="0.3">
      <c r="A13" s="1"/>
      <c r="B13" s="1" t="s">
        <v>9</v>
      </c>
      <c r="C13" s="14">
        <v>0</v>
      </c>
      <c r="D13" s="14">
        <v>0</v>
      </c>
      <c r="E13" s="14">
        <v>12500</v>
      </c>
      <c r="F13" s="14">
        <v>0</v>
      </c>
      <c r="G13" s="11">
        <f t="shared" si="0"/>
        <v>12500</v>
      </c>
      <c r="K13" s="20" t="s">
        <v>12</v>
      </c>
      <c r="L13" s="21"/>
      <c r="M13" s="21"/>
      <c r="N13" s="21"/>
      <c r="O13" s="21"/>
    </row>
    <row r="14" spans="1:15" x14ac:dyDescent="0.3">
      <c r="A14" s="1" t="s">
        <v>14</v>
      </c>
      <c r="B14" s="1" t="s">
        <v>6</v>
      </c>
      <c r="C14" s="14">
        <v>0</v>
      </c>
      <c r="D14" s="14">
        <v>0</v>
      </c>
      <c r="E14" s="14">
        <v>0</v>
      </c>
      <c r="F14" s="14">
        <v>0</v>
      </c>
      <c r="G14" s="11">
        <f t="shared" si="0"/>
        <v>0</v>
      </c>
      <c r="K14" s="20" t="s">
        <v>6</v>
      </c>
      <c r="L14" s="21">
        <v>0.14000000000000001</v>
      </c>
      <c r="M14" s="21">
        <v>0.11</v>
      </c>
      <c r="N14" s="21">
        <v>7.0000000000000007E-2</v>
      </c>
      <c r="O14" s="21">
        <v>7.0000000000000007E-2</v>
      </c>
    </row>
    <row r="15" spans="1:15" x14ac:dyDescent="0.3">
      <c r="A15" s="1"/>
      <c r="B15" s="1" t="s">
        <v>8</v>
      </c>
      <c r="C15" s="14">
        <v>0</v>
      </c>
      <c r="D15" s="14">
        <v>0</v>
      </c>
      <c r="E15" s="14">
        <v>0</v>
      </c>
      <c r="F15" s="14">
        <v>0</v>
      </c>
      <c r="G15" s="11">
        <f t="shared" si="0"/>
        <v>0</v>
      </c>
      <c r="K15" s="20" t="s">
        <v>8</v>
      </c>
      <c r="L15" s="21">
        <v>0.14000000000000001</v>
      </c>
      <c r="M15" s="21">
        <v>0.11</v>
      </c>
      <c r="N15" s="21">
        <v>7.0000000000000007E-2</v>
      </c>
      <c r="O15" s="21">
        <v>7.0000000000000007E-2</v>
      </c>
    </row>
    <row r="16" spans="1:15" x14ac:dyDescent="0.3">
      <c r="A16" s="1"/>
      <c r="B16" s="1" t="s">
        <v>9</v>
      </c>
      <c r="C16" s="14">
        <v>0</v>
      </c>
      <c r="D16" s="14">
        <v>0</v>
      </c>
      <c r="E16" s="14">
        <v>0</v>
      </c>
      <c r="F16" s="14">
        <v>0</v>
      </c>
      <c r="G16" s="11">
        <f t="shared" si="0"/>
        <v>0</v>
      </c>
      <c r="K16" s="20" t="s">
        <v>9</v>
      </c>
      <c r="L16" s="21">
        <v>0.14000000000000001</v>
      </c>
      <c r="M16" s="21">
        <v>0.11</v>
      </c>
      <c r="N16" s="21">
        <v>7.0000000000000007E-2</v>
      </c>
      <c r="O16" s="21">
        <v>7.0000000000000007E-2</v>
      </c>
    </row>
    <row r="17" spans="1:16" x14ac:dyDescent="0.3">
      <c r="B17" s="1"/>
      <c r="C17" s="4"/>
      <c r="D17" s="4"/>
      <c r="E17" s="4"/>
      <c r="F17" s="4"/>
      <c r="G17" s="9"/>
      <c r="K17" s="20" t="s">
        <v>14</v>
      </c>
      <c r="L17" s="21"/>
      <c r="M17" s="21"/>
      <c r="N17" s="21"/>
      <c r="O17" s="21"/>
    </row>
    <row r="18" spans="1:16" x14ac:dyDescent="0.3">
      <c r="B18" s="1"/>
      <c r="C18" s="4"/>
      <c r="D18" s="4"/>
      <c r="E18" s="4"/>
      <c r="F18" s="4"/>
      <c r="K18" s="20" t="s">
        <v>6</v>
      </c>
      <c r="L18" s="21">
        <v>0.12</v>
      </c>
      <c r="M18" s="21">
        <v>0.15</v>
      </c>
      <c r="N18" s="21">
        <v>0.11</v>
      </c>
      <c r="O18" s="21">
        <v>0.13</v>
      </c>
    </row>
    <row r="19" spans="1:16" x14ac:dyDescent="0.3">
      <c r="B19" s="1"/>
      <c r="C19" s="4"/>
      <c r="D19" s="4"/>
      <c r="E19" s="4"/>
      <c r="F19" s="4"/>
      <c r="K19" s="20" t="s">
        <v>8</v>
      </c>
      <c r="L19" s="21">
        <v>0.12</v>
      </c>
      <c r="M19" s="21">
        <v>0.15</v>
      </c>
      <c r="N19" s="21">
        <v>0.11</v>
      </c>
      <c r="O19" s="21">
        <v>0.13</v>
      </c>
    </row>
    <row r="20" spans="1:16" x14ac:dyDescent="0.3">
      <c r="A20" s="1"/>
      <c r="B20" s="2" t="s">
        <v>0</v>
      </c>
      <c r="C20" s="1"/>
      <c r="D20" s="1"/>
      <c r="E20" s="1"/>
      <c r="F20" s="1"/>
      <c r="K20" s="20" t="s">
        <v>9</v>
      </c>
      <c r="L20" s="21">
        <v>0.12</v>
      </c>
      <c r="M20" s="21">
        <v>0.15</v>
      </c>
      <c r="N20" s="21">
        <v>0.11</v>
      </c>
      <c r="O20" s="21">
        <v>0.13</v>
      </c>
      <c r="P20" s="3"/>
    </row>
    <row r="21" spans="1:16" x14ac:dyDescent="0.3">
      <c r="A21" s="1"/>
      <c r="B21" s="1"/>
      <c r="C21" s="1" t="s">
        <v>1</v>
      </c>
      <c r="D21" s="1" t="s">
        <v>2</v>
      </c>
      <c r="E21" s="1" t="s">
        <v>3</v>
      </c>
      <c r="F21" s="1" t="s">
        <v>4</v>
      </c>
      <c r="K21" s="1"/>
      <c r="L21" s="1"/>
      <c r="M21" s="3"/>
      <c r="N21" s="3"/>
      <c r="O21" s="3"/>
      <c r="P21" s="3"/>
    </row>
    <row r="22" spans="1:16" x14ac:dyDescent="0.3">
      <c r="A22" s="1" t="s">
        <v>5</v>
      </c>
      <c r="B22" s="1" t="s">
        <v>6</v>
      </c>
      <c r="C22" s="3">
        <v>1.3</v>
      </c>
      <c r="D22" s="3">
        <v>1.2</v>
      </c>
      <c r="E22" s="3">
        <v>0.75</v>
      </c>
      <c r="F22" s="3">
        <v>0.5</v>
      </c>
      <c r="K22" s="1"/>
      <c r="L22" s="1"/>
      <c r="M22" s="3"/>
      <c r="N22" s="3"/>
      <c r="O22" s="3"/>
      <c r="P22" s="3"/>
    </row>
    <row r="23" spans="1:16" ht="40.200000000000003" x14ac:dyDescent="0.3">
      <c r="A23" s="1"/>
      <c r="B23" s="1" t="s">
        <v>8</v>
      </c>
      <c r="C23" s="3">
        <v>2</v>
      </c>
      <c r="D23" s="3">
        <v>2.2000000000000002</v>
      </c>
      <c r="E23" s="3">
        <v>2.5</v>
      </c>
      <c r="F23" s="3">
        <v>3</v>
      </c>
      <c r="K23" s="45" t="s">
        <v>632</v>
      </c>
      <c r="L23" s="47" t="s">
        <v>428</v>
      </c>
      <c r="M23" s="50"/>
      <c r="N23" s="50"/>
      <c r="O23" s="50"/>
      <c r="P23" s="3"/>
    </row>
    <row r="24" spans="1:16" x14ac:dyDescent="0.3">
      <c r="A24" s="1"/>
      <c r="B24" s="1" t="s">
        <v>9</v>
      </c>
      <c r="C24" s="3">
        <v>0.8</v>
      </c>
      <c r="D24" s="3">
        <v>1.2</v>
      </c>
      <c r="E24" s="3">
        <v>0.5</v>
      </c>
      <c r="F24" s="3">
        <v>0.5</v>
      </c>
      <c r="K24" s="1"/>
      <c r="L24" s="1"/>
      <c r="M24" s="3"/>
      <c r="N24" s="3"/>
      <c r="O24" s="3"/>
      <c r="P24" s="3"/>
    </row>
    <row r="25" spans="1:16" x14ac:dyDescent="0.3">
      <c r="A25" s="1"/>
      <c r="B25" s="1"/>
      <c r="C25" s="1"/>
      <c r="D25" s="1"/>
      <c r="E25" s="1"/>
      <c r="F25" s="1"/>
      <c r="K25" s="24" t="s">
        <v>427</v>
      </c>
      <c r="L25" s="24" t="s">
        <v>1</v>
      </c>
      <c r="M25" s="24" t="s">
        <v>2</v>
      </c>
      <c r="N25" s="24" t="s">
        <v>3</v>
      </c>
      <c r="O25" s="24" t="s">
        <v>4</v>
      </c>
      <c r="P25" s="3"/>
    </row>
    <row r="26" spans="1:16" x14ac:dyDescent="0.3">
      <c r="A26" s="1" t="s">
        <v>10</v>
      </c>
      <c r="B26" s="1" t="s">
        <v>6</v>
      </c>
      <c r="C26" s="3">
        <v>1.5</v>
      </c>
      <c r="D26" s="3">
        <v>1.55</v>
      </c>
      <c r="E26" s="3">
        <v>2</v>
      </c>
      <c r="F26" s="3">
        <v>3</v>
      </c>
      <c r="K26" s="22" t="s">
        <v>429</v>
      </c>
      <c r="L26" s="26"/>
      <c r="M26" s="26"/>
      <c r="N26" s="26"/>
      <c r="O26" s="27"/>
      <c r="P26" s="3"/>
    </row>
    <row r="27" spans="1:16" x14ac:dyDescent="0.3">
      <c r="A27" s="1"/>
      <c r="B27" s="1" t="s">
        <v>8</v>
      </c>
      <c r="C27" s="3">
        <v>2.4</v>
      </c>
      <c r="D27" s="3">
        <v>2.6</v>
      </c>
      <c r="E27" s="3">
        <v>2</v>
      </c>
      <c r="F27" s="3">
        <v>1.75</v>
      </c>
      <c r="K27" s="25" t="s">
        <v>6</v>
      </c>
      <c r="L27" s="23">
        <f t="shared" ref="L27:M29" si="1">C22+(L6*10)</f>
        <v>3.3</v>
      </c>
      <c r="M27" s="23">
        <f t="shared" si="1"/>
        <v>3</v>
      </c>
      <c r="N27" s="23">
        <f t="shared" ref="N27:O29" si="2">E22+(N6*10)</f>
        <v>1.75</v>
      </c>
      <c r="O27" s="23">
        <f t="shared" si="2"/>
        <v>1.3</v>
      </c>
      <c r="P27" s="3"/>
    </row>
    <row r="28" spans="1:16" x14ac:dyDescent="0.3">
      <c r="A28" s="1"/>
      <c r="B28" s="1" t="s">
        <v>9</v>
      </c>
      <c r="C28" s="3">
        <v>3</v>
      </c>
      <c r="D28" s="3">
        <v>3.5</v>
      </c>
      <c r="E28" s="3">
        <v>2</v>
      </c>
      <c r="F28" s="3">
        <v>2.8</v>
      </c>
      <c r="K28" s="20" t="s">
        <v>8</v>
      </c>
      <c r="L28" s="23">
        <f t="shared" si="1"/>
        <v>4</v>
      </c>
      <c r="M28" s="23">
        <f t="shared" si="1"/>
        <v>4</v>
      </c>
      <c r="N28" s="23">
        <f t="shared" si="2"/>
        <v>3.5</v>
      </c>
      <c r="O28" s="23">
        <f t="shared" si="2"/>
        <v>3.8</v>
      </c>
      <c r="P28" s="3"/>
    </row>
    <row r="29" spans="1:16" x14ac:dyDescent="0.3">
      <c r="A29" s="1"/>
      <c r="B29" s="1"/>
      <c r="C29" s="1"/>
      <c r="D29" s="1"/>
      <c r="E29" s="1"/>
      <c r="F29" s="1"/>
      <c r="K29" s="20" t="s">
        <v>9</v>
      </c>
      <c r="L29" s="23">
        <f t="shared" si="1"/>
        <v>2.8</v>
      </c>
      <c r="M29" s="23">
        <f t="shared" si="1"/>
        <v>3</v>
      </c>
      <c r="N29" s="23">
        <f t="shared" si="2"/>
        <v>1.5</v>
      </c>
      <c r="O29" s="23">
        <f t="shared" si="2"/>
        <v>1.3</v>
      </c>
      <c r="P29" s="3"/>
    </row>
    <row r="30" spans="1:16" x14ac:dyDescent="0.3">
      <c r="A30" s="1" t="s">
        <v>12</v>
      </c>
      <c r="B30" s="1" t="s">
        <v>6</v>
      </c>
      <c r="C30" s="3">
        <v>0.95</v>
      </c>
      <c r="D30" s="3">
        <v>0.75</v>
      </c>
      <c r="E30" s="3">
        <v>0.5</v>
      </c>
      <c r="F30" s="3">
        <v>0.5</v>
      </c>
      <c r="K30" s="22" t="s">
        <v>430</v>
      </c>
      <c r="L30" s="26"/>
      <c r="M30" s="26"/>
      <c r="N30" s="26"/>
      <c r="O30" s="27"/>
      <c r="P30" s="3"/>
    </row>
    <row r="31" spans="1:16" x14ac:dyDescent="0.3">
      <c r="A31" s="1"/>
      <c r="B31" s="1" t="s">
        <v>8</v>
      </c>
      <c r="C31" s="3">
        <v>0.5</v>
      </c>
      <c r="D31" s="3">
        <v>0.5</v>
      </c>
      <c r="E31" s="3">
        <v>0.5</v>
      </c>
      <c r="F31" s="3">
        <v>0.5</v>
      </c>
      <c r="K31" s="20" t="s">
        <v>6</v>
      </c>
      <c r="L31" s="23">
        <f>C26+(L10*10)</f>
        <v>3.7</v>
      </c>
      <c r="M31" s="23">
        <f t="shared" ref="M31:O33" si="3">D26+(M10*10)</f>
        <v>3.8500000000000005</v>
      </c>
      <c r="N31" s="23">
        <f t="shared" si="3"/>
        <v>5</v>
      </c>
      <c r="O31" s="23">
        <f t="shared" si="3"/>
        <v>7.2</v>
      </c>
      <c r="P31" s="3"/>
    </row>
    <row r="32" spans="1:16" x14ac:dyDescent="0.3">
      <c r="A32" s="1"/>
      <c r="B32" s="1" t="s">
        <v>9</v>
      </c>
      <c r="C32" s="3">
        <v>0.7</v>
      </c>
      <c r="D32" s="3">
        <v>0.7</v>
      </c>
      <c r="E32" s="3">
        <v>0.7</v>
      </c>
      <c r="F32" s="3">
        <v>0.7</v>
      </c>
      <c r="K32" s="20" t="s">
        <v>8</v>
      </c>
      <c r="L32" s="23">
        <f>C27+(L11*10)</f>
        <v>4.5999999999999996</v>
      </c>
      <c r="M32" s="23">
        <f t="shared" si="3"/>
        <v>4.9000000000000004</v>
      </c>
      <c r="N32" s="23">
        <f t="shared" si="3"/>
        <v>5</v>
      </c>
      <c r="O32" s="23">
        <f t="shared" si="3"/>
        <v>5.95</v>
      </c>
      <c r="P32" s="3"/>
    </row>
    <row r="33" spans="1:16" x14ac:dyDescent="0.3">
      <c r="A33" s="1"/>
      <c r="B33" s="1"/>
      <c r="C33" s="3"/>
      <c r="D33" s="3"/>
      <c r="E33" s="3"/>
      <c r="F33" s="3"/>
      <c r="K33" s="24" t="s">
        <v>9</v>
      </c>
      <c r="L33" s="23">
        <f>C28+(L12*10)</f>
        <v>5.2</v>
      </c>
      <c r="M33" s="23">
        <f t="shared" si="3"/>
        <v>5.8000000000000007</v>
      </c>
      <c r="N33" s="23">
        <f t="shared" si="3"/>
        <v>5</v>
      </c>
      <c r="O33" s="23">
        <f t="shared" si="3"/>
        <v>7</v>
      </c>
      <c r="P33" s="3"/>
    </row>
    <row r="34" spans="1:16" x14ac:dyDescent="0.3">
      <c r="A34" s="1" t="s">
        <v>14</v>
      </c>
      <c r="B34" s="1" t="s">
        <v>6</v>
      </c>
      <c r="C34" s="3">
        <v>0.8</v>
      </c>
      <c r="D34" s="3">
        <v>1.1000000000000001</v>
      </c>
      <c r="E34" s="3">
        <v>0.75</v>
      </c>
      <c r="F34" s="3">
        <v>0.85</v>
      </c>
      <c r="K34" s="22" t="s">
        <v>12</v>
      </c>
      <c r="L34" s="26"/>
      <c r="M34" s="26"/>
      <c r="N34" s="26"/>
      <c r="O34" s="27"/>
      <c r="P34" s="3"/>
    </row>
    <row r="35" spans="1:16" x14ac:dyDescent="0.3">
      <c r="A35" s="1"/>
      <c r="B35" s="1" t="s">
        <v>8</v>
      </c>
      <c r="C35" s="3">
        <v>0.68</v>
      </c>
      <c r="D35" s="3">
        <v>0.45</v>
      </c>
      <c r="E35" s="3">
        <v>0.8</v>
      </c>
      <c r="F35" s="3">
        <v>0.55000000000000004</v>
      </c>
      <c r="K35" s="25" t="s">
        <v>6</v>
      </c>
      <c r="L35" s="23">
        <f>C30+(10*L14)</f>
        <v>2.35</v>
      </c>
      <c r="M35" s="23">
        <f t="shared" ref="M35:O37" si="4">D30+(10*M14)</f>
        <v>1.85</v>
      </c>
      <c r="N35" s="23">
        <f t="shared" si="4"/>
        <v>1.2000000000000002</v>
      </c>
      <c r="O35" s="23">
        <f t="shared" si="4"/>
        <v>1.2000000000000002</v>
      </c>
      <c r="P35" s="3"/>
    </row>
    <row r="36" spans="1:16" x14ac:dyDescent="0.3">
      <c r="A36" s="1"/>
      <c r="B36" s="1" t="s">
        <v>9</v>
      </c>
      <c r="C36" s="3">
        <v>1.5</v>
      </c>
      <c r="D36" s="3">
        <v>0.9</v>
      </c>
      <c r="E36" s="3">
        <v>0.65</v>
      </c>
      <c r="F36" s="3">
        <v>1.25</v>
      </c>
      <c r="K36" s="20" t="s">
        <v>8</v>
      </c>
      <c r="L36" s="23">
        <f>C31+(10*L15)</f>
        <v>1.9000000000000001</v>
      </c>
      <c r="M36" s="23">
        <f t="shared" si="4"/>
        <v>1.6</v>
      </c>
      <c r="N36" s="23">
        <f t="shared" si="4"/>
        <v>1.2000000000000002</v>
      </c>
      <c r="O36" s="23">
        <f t="shared" si="4"/>
        <v>1.2000000000000002</v>
      </c>
      <c r="P36" s="3"/>
    </row>
    <row r="37" spans="1:16" x14ac:dyDescent="0.3">
      <c r="B37" s="1"/>
      <c r="C37" s="4"/>
      <c r="D37" s="4"/>
      <c r="E37" s="4"/>
      <c r="F37" s="4"/>
      <c r="K37" s="24" t="s">
        <v>9</v>
      </c>
      <c r="L37" s="23">
        <f>C32+(10*L16)</f>
        <v>2.1</v>
      </c>
      <c r="M37" s="23">
        <f t="shared" si="4"/>
        <v>1.8</v>
      </c>
      <c r="N37" s="23">
        <f t="shared" si="4"/>
        <v>1.4</v>
      </c>
      <c r="O37" s="23">
        <f t="shared" si="4"/>
        <v>1.4</v>
      </c>
      <c r="P37" s="3"/>
    </row>
    <row r="38" spans="1:16" x14ac:dyDescent="0.3">
      <c r="B38" s="1"/>
      <c r="C38" s="4"/>
      <c r="D38" s="4"/>
      <c r="E38" s="4"/>
      <c r="F38" s="4"/>
      <c r="K38" s="22" t="s">
        <v>14</v>
      </c>
      <c r="L38" s="26"/>
      <c r="M38" s="26"/>
      <c r="N38" s="26"/>
      <c r="O38" s="27"/>
      <c r="P38" s="3"/>
    </row>
    <row r="39" spans="1:16" x14ac:dyDescent="0.3">
      <c r="B39" s="1"/>
      <c r="C39" s="4"/>
      <c r="D39" s="4"/>
      <c r="E39" s="4"/>
      <c r="F39" s="4"/>
      <c r="K39" s="25" t="s">
        <v>6</v>
      </c>
      <c r="L39" s="23">
        <f>C34+(10*L18)</f>
        <v>2</v>
      </c>
      <c r="M39" s="23">
        <f t="shared" ref="M39:O41" si="5">D34+(10*M18)</f>
        <v>2.6</v>
      </c>
      <c r="N39" s="23">
        <f t="shared" si="5"/>
        <v>1.85</v>
      </c>
      <c r="O39" s="23">
        <f t="shared" si="5"/>
        <v>2.15</v>
      </c>
      <c r="P39" s="3"/>
    </row>
    <row r="40" spans="1:16" x14ac:dyDescent="0.3">
      <c r="B40" s="1"/>
      <c r="C40" s="4"/>
      <c r="D40" s="4"/>
      <c r="E40" s="31"/>
      <c r="F40" s="4"/>
      <c r="K40" s="20" t="s">
        <v>8</v>
      </c>
      <c r="L40" s="23">
        <f>C35+(10*L19)</f>
        <v>1.88</v>
      </c>
      <c r="M40" s="23">
        <f t="shared" si="5"/>
        <v>1.95</v>
      </c>
      <c r="N40" s="23">
        <f t="shared" si="5"/>
        <v>1.9000000000000001</v>
      </c>
      <c r="O40" s="23">
        <f t="shared" si="5"/>
        <v>1.85</v>
      </c>
      <c r="P40" s="3"/>
    </row>
    <row r="41" spans="1:16" x14ac:dyDescent="0.3">
      <c r="K41" s="20" t="s">
        <v>9</v>
      </c>
      <c r="L41" s="23">
        <f>C36+(10*L20)</f>
        <v>2.7</v>
      </c>
      <c r="M41" s="23">
        <f t="shared" si="5"/>
        <v>2.4</v>
      </c>
      <c r="N41" s="23">
        <f t="shared" si="5"/>
        <v>1.75</v>
      </c>
      <c r="O41" s="23">
        <f t="shared" si="5"/>
        <v>2.5499999999999998</v>
      </c>
    </row>
    <row r="42" spans="1:16" ht="43.2" x14ac:dyDescent="0.3">
      <c r="E42" s="40" t="s">
        <v>592</v>
      </c>
      <c r="F42" s="8">
        <f>SUMPRODUCT(L27:O29,C5:F7)+SUMPRODUCT(L31:O33,C8:F10)+SUMPRODUCT(L35:O37,C11:F13)+SUMPRODUCT(L39:O41,C14:F16)</f>
        <v>17500</v>
      </c>
    </row>
    <row r="43" spans="1:16" x14ac:dyDescent="0.3">
      <c r="E43" s="8"/>
      <c r="F43" s="8"/>
    </row>
    <row r="44" spans="1:16" x14ac:dyDescent="0.3">
      <c r="G44" s="6"/>
    </row>
    <row r="45" spans="1:16" ht="15" x14ac:dyDescent="0.35">
      <c r="D45" t="s">
        <v>20</v>
      </c>
      <c r="E45" s="7" t="s">
        <v>591</v>
      </c>
    </row>
    <row r="46" spans="1:16" x14ac:dyDescent="0.3">
      <c r="A46" s="1"/>
      <c r="B46" s="2" t="s">
        <v>17</v>
      </c>
      <c r="C46" s="1"/>
      <c r="D46" s="1"/>
      <c r="E46" s="1"/>
      <c r="F46" s="1"/>
      <c r="G46" s="1"/>
      <c r="H46" s="1"/>
    </row>
    <row r="47" spans="1:16" ht="40.200000000000003" x14ac:dyDescent="0.3">
      <c r="A47" s="1"/>
      <c r="B47" s="1"/>
      <c r="C47" s="1" t="s">
        <v>7</v>
      </c>
      <c r="D47" s="1" t="s">
        <v>11</v>
      </c>
      <c r="E47" s="1" t="s">
        <v>13</v>
      </c>
      <c r="F47" s="1" t="s">
        <v>15</v>
      </c>
      <c r="G47" s="1" t="s">
        <v>16</v>
      </c>
      <c r="H47" s="1" t="s">
        <v>18</v>
      </c>
      <c r="I47" s="10" t="s">
        <v>21</v>
      </c>
      <c r="L47" s="12" t="s">
        <v>24</v>
      </c>
      <c r="M47" t="s">
        <v>25</v>
      </c>
      <c r="N47" s="13" t="s">
        <v>26</v>
      </c>
    </row>
    <row r="48" spans="1:16" x14ac:dyDescent="0.3">
      <c r="A48" s="1" t="s">
        <v>5</v>
      </c>
      <c r="B48" s="1" t="s">
        <v>6</v>
      </c>
      <c r="C48" s="14">
        <v>10000</v>
      </c>
      <c r="D48" s="14">
        <v>27500</v>
      </c>
      <c r="E48" s="14">
        <v>0</v>
      </c>
      <c r="F48" s="14">
        <v>2500</v>
      </c>
      <c r="G48" s="14">
        <v>0</v>
      </c>
      <c r="H48" s="14">
        <v>10000</v>
      </c>
      <c r="I48" s="46">
        <f t="shared" ref="I48:I57" si="6">SUM(C48:H48)</f>
        <v>50000</v>
      </c>
      <c r="L48">
        <f t="shared" ref="L48:L59" si="7">SUM(I48,G5)</f>
        <v>50000</v>
      </c>
      <c r="M48" t="s">
        <v>25</v>
      </c>
      <c r="N48" s="1">
        <v>50000</v>
      </c>
    </row>
    <row r="49" spans="1:14" x14ac:dyDescent="0.3">
      <c r="A49" s="1"/>
      <c r="B49" s="1" t="s">
        <v>8</v>
      </c>
      <c r="C49" s="14">
        <v>0</v>
      </c>
      <c r="D49" s="14">
        <v>12500</v>
      </c>
      <c r="E49" s="14">
        <v>0</v>
      </c>
      <c r="F49" s="14">
        <v>2500</v>
      </c>
      <c r="G49" s="14">
        <v>0</v>
      </c>
      <c r="H49" s="14">
        <v>32500</v>
      </c>
      <c r="I49" s="46">
        <f t="shared" si="6"/>
        <v>47500</v>
      </c>
      <c r="L49">
        <f t="shared" si="7"/>
        <v>47500</v>
      </c>
      <c r="M49" t="s">
        <v>25</v>
      </c>
      <c r="N49" s="1">
        <v>47500</v>
      </c>
    </row>
    <row r="50" spans="1:14" x14ac:dyDescent="0.3">
      <c r="A50" s="1"/>
      <c r="B50" s="1" t="s">
        <v>9</v>
      </c>
      <c r="C50" s="14">
        <v>10000</v>
      </c>
      <c r="D50" s="14">
        <v>22500</v>
      </c>
      <c r="E50" s="14">
        <v>0</v>
      </c>
      <c r="F50" s="14">
        <v>15000</v>
      </c>
      <c r="G50" s="14">
        <v>0</v>
      </c>
      <c r="H50" s="14">
        <v>0</v>
      </c>
      <c r="I50" s="46">
        <f t="shared" si="6"/>
        <v>47500</v>
      </c>
      <c r="L50">
        <f t="shared" si="7"/>
        <v>47500</v>
      </c>
      <c r="M50" t="s">
        <v>25</v>
      </c>
      <c r="N50" s="1">
        <v>47500</v>
      </c>
    </row>
    <row r="51" spans="1:14" x14ac:dyDescent="0.3">
      <c r="A51" s="1" t="s">
        <v>10</v>
      </c>
      <c r="B51" s="1" t="s">
        <v>6</v>
      </c>
      <c r="C51" s="14">
        <v>0</v>
      </c>
      <c r="D51" s="14">
        <v>0</v>
      </c>
      <c r="E51" s="14">
        <v>0</v>
      </c>
      <c r="F51" s="14">
        <v>10000</v>
      </c>
      <c r="G51" s="14">
        <v>27500</v>
      </c>
      <c r="H51" s="14">
        <v>0</v>
      </c>
      <c r="I51" s="46">
        <f t="shared" si="6"/>
        <v>37500</v>
      </c>
      <c r="L51">
        <f t="shared" si="7"/>
        <v>37500</v>
      </c>
      <c r="M51" t="s">
        <v>25</v>
      </c>
      <c r="N51" s="1">
        <v>37500</v>
      </c>
    </row>
    <row r="52" spans="1:14" x14ac:dyDescent="0.3">
      <c r="A52" s="1"/>
      <c r="B52" s="1" t="s">
        <v>8</v>
      </c>
      <c r="C52" s="14">
        <v>0</v>
      </c>
      <c r="D52" s="14">
        <v>0</v>
      </c>
      <c r="E52" s="14">
        <v>0</v>
      </c>
      <c r="F52" s="14">
        <v>2500</v>
      </c>
      <c r="G52" s="14">
        <v>27500</v>
      </c>
      <c r="H52" s="14">
        <v>0</v>
      </c>
      <c r="I52" s="46">
        <f t="shared" si="6"/>
        <v>30000</v>
      </c>
      <c r="L52">
        <f t="shared" si="7"/>
        <v>30000</v>
      </c>
      <c r="M52" t="s">
        <v>25</v>
      </c>
      <c r="N52" s="1">
        <v>30000</v>
      </c>
    </row>
    <row r="53" spans="1:14" x14ac:dyDescent="0.3">
      <c r="A53" s="1"/>
      <c r="B53" s="1" t="s">
        <v>9</v>
      </c>
      <c r="C53" s="14">
        <v>0</v>
      </c>
      <c r="D53" s="14">
        <v>0</v>
      </c>
      <c r="E53" s="14">
        <v>0</v>
      </c>
      <c r="F53" s="14">
        <v>0</v>
      </c>
      <c r="G53" s="14">
        <v>30000</v>
      </c>
      <c r="H53" s="14">
        <v>0</v>
      </c>
      <c r="I53" s="46">
        <f t="shared" si="6"/>
        <v>30000</v>
      </c>
      <c r="L53">
        <f t="shared" si="7"/>
        <v>30000</v>
      </c>
      <c r="M53" t="s">
        <v>25</v>
      </c>
      <c r="N53" s="1">
        <v>30000</v>
      </c>
    </row>
    <row r="54" spans="1:14" x14ac:dyDescent="0.3">
      <c r="A54" s="1" t="s">
        <v>12</v>
      </c>
      <c r="B54" s="1" t="s">
        <v>6</v>
      </c>
      <c r="C54" s="14">
        <v>0</v>
      </c>
      <c r="D54" s="14">
        <v>0</v>
      </c>
      <c r="E54" s="14">
        <v>0</v>
      </c>
      <c r="F54" s="14">
        <v>20000</v>
      </c>
      <c r="G54" s="14">
        <v>0</v>
      </c>
      <c r="H54" s="14">
        <v>0</v>
      </c>
      <c r="I54" s="46">
        <f t="shared" si="6"/>
        <v>20000</v>
      </c>
      <c r="L54">
        <f t="shared" si="7"/>
        <v>20000</v>
      </c>
      <c r="M54" t="s">
        <v>25</v>
      </c>
      <c r="N54" s="1">
        <v>100000</v>
      </c>
    </row>
    <row r="55" spans="1:14" x14ac:dyDescent="0.3">
      <c r="A55" s="1"/>
      <c r="B55" s="1" t="s">
        <v>8</v>
      </c>
      <c r="C55" s="14">
        <v>0</v>
      </c>
      <c r="D55" s="14">
        <v>0</v>
      </c>
      <c r="E55" s="14">
        <v>25000</v>
      </c>
      <c r="F55" s="14">
        <v>27500</v>
      </c>
      <c r="G55" s="14">
        <v>0</v>
      </c>
      <c r="H55" s="14">
        <v>0</v>
      </c>
      <c r="I55" s="46">
        <f t="shared" si="6"/>
        <v>52500</v>
      </c>
      <c r="L55">
        <f t="shared" si="7"/>
        <v>52500</v>
      </c>
      <c r="M55" t="s">
        <v>25</v>
      </c>
      <c r="N55" s="1">
        <v>97500</v>
      </c>
    </row>
    <row r="56" spans="1:14" x14ac:dyDescent="0.3">
      <c r="A56" s="1"/>
      <c r="B56" s="1" t="s">
        <v>9</v>
      </c>
      <c r="C56" s="14">
        <v>0</v>
      </c>
      <c r="D56" s="14">
        <v>0</v>
      </c>
      <c r="E56" s="14">
        <v>0</v>
      </c>
      <c r="F56" s="14">
        <v>20000</v>
      </c>
      <c r="G56" s="14">
        <v>0</v>
      </c>
      <c r="H56" s="14">
        <v>0</v>
      </c>
      <c r="I56" s="46">
        <f t="shared" si="6"/>
        <v>20000</v>
      </c>
      <c r="L56">
        <f t="shared" si="7"/>
        <v>32500</v>
      </c>
      <c r="M56" t="s">
        <v>25</v>
      </c>
      <c r="N56" s="1">
        <v>100000</v>
      </c>
    </row>
    <row r="57" spans="1:14" x14ac:dyDescent="0.3">
      <c r="A57" s="1" t="s">
        <v>14</v>
      </c>
      <c r="B57" s="1" t="s">
        <v>6</v>
      </c>
      <c r="C57" s="14">
        <v>0</v>
      </c>
      <c r="D57" s="14">
        <v>0</v>
      </c>
      <c r="E57" s="14">
        <v>25000</v>
      </c>
      <c r="F57" s="14">
        <v>0</v>
      </c>
      <c r="G57" s="14">
        <v>0</v>
      </c>
      <c r="H57" s="14">
        <v>20000</v>
      </c>
      <c r="I57" s="46">
        <f t="shared" si="6"/>
        <v>45000</v>
      </c>
      <c r="L57">
        <f t="shared" si="7"/>
        <v>45000</v>
      </c>
      <c r="M57" t="s">
        <v>25</v>
      </c>
      <c r="N57" s="1">
        <v>45000</v>
      </c>
    </row>
    <row r="58" spans="1:14" x14ac:dyDescent="0.3">
      <c r="A58" s="1"/>
      <c r="B58" s="1" t="s">
        <v>8</v>
      </c>
      <c r="C58" s="14">
        <v>7500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46">
        <f>SUM(C58:H58)</f>
        <v>7500</v>
      </c>
      <c r="L58">
        <f t="shared" si="7"/>
        <v>7500</v>
      </c>
      <c r="M58" t="s">
        <v>25</v>
      </c>
      <c r="N58" s="1">
        <v>40000</v>
      </c>
    </row>
    <row r="59" spans="1:14" x14ac:dyDescent="0.3">
      <c r="A59" s="1"/>
      <c r="B59" s="1" t="s">
        <v>9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55000</v>
      </c>
      <c r="I59" s="46">
        <f>SUM(C59:H59)</f>
        <v>55000</v>
      </c>
      <c r="L59">
        <f t="shared" si="7"/>
        <v>55000</v>
      </c>
      <c r="M59" t="s">
        <v>25</v>
      </c>
      <c r="N59" s="1">
        <v>55000</v>
      </c>
    </row>
    <row r="63" spans="1:14" ht="28.8" x14ac:dyDescent="0.3">
      <c r="G63" s="40" t="s">
        <v>593</v>
      </c>
      <c r="H63" s="8">
        <f>SUMPRODUCT(G86:L88,C48:H50)+SUMPRODUCT(G90:L92,C51:H53)+SUMPRODUCT(G94:L96,C54:H56)+SUMPRODUCT(G98:L100,C57:H59)</f>
        <v>5141250</v>
      </c>
      <c r="L63" t="s">
        <v>589</v>
      </c>
    </row>
    <row r="64" spans="1:14" x14ac:dyDescent="0.3">
      <c r="A64" s="1"/>
      <c r="B64" s="2" t="s">
        <v>17</v>
      </c>
      <c r="C64" s="1"/>
      <c r="D64" s="1"/>
      <c r="E64" s="1"/>
      <c r="F64" s="1"/>
      <c r="G64" s="1"/>
      <c r="H64" s="1"/>
    </row>
    <row r="65" spans="1:17" x14ac:dyDescent="0.3">
      <c r="A65" s="1"/>
      <c r="B65" s="1"/>
      <c r="C65" s="1" t="s">
        <v>7</v>
      </c>
      <c r="D65" s="1" t="s">
        <v>11</v>
      </c>
      <c r="E65" s="1" t="s">
        <v>13</v>
      </c>
      <c r="F65" s="1" t="s">
        <v>15</v>
      </c>
      <c r="G65" s="1" t="s">
        <v>16</v>
      </c>
      <c r="H65" s="1" t="s">
        <v>18</v>
      </c>
      <c r="I65" s="1"/>
      <c r="K65" s="20" t="s">
        <v>427</v>
      </c>
      <c r="L65" s="20" t="s">
        <v>7</v>
      </c>
      <c r="M65" s="20" t="s">
        <v>11</v>
      </c>
      <c r="N65" s="20" t="s">
        <v>13</v>
      </c>
      <c r="O65" s="20" t="s">
        <v>15</v>
      </c>
      <c r="P65" s="20" t="s">
        <v>16</v>
      </c>
      <c r="Q65" s="20" t="s">
        <v>18</v>
      </c>
    </row>
    <row r="66" spans="1:17" x14ac:dyDescent="0.3">
      <c r="A66" s="1" t="s">
        <v>5</v>
      </c>
      <c r="B66" s="1" t="s">
        <v>6</v>
      </c>
      <c r="C66" s="3">
        <v>3.5</v>
      </c>
      <c r="D66" s="3">
        <v>4</v>
      </c>
      <c r="E66" s="3">
        <v>5</v>
      </c>
      <c r="F66" s="3">
        <v>3.75</v>
      </c>
      <c r="G66" s="3">
        <v>4</v>
      </c>
      <c r="H66" s="3">
        <v>4.5</v>
      </c>
      <c r="K66" s="20" t="s">
        <v>5</v>
      </c>
      <c r="L66" s="21"/>
      <c r="M66" s="21"/>
      <c r="N66" s="21"/>
      <c r="O66" s="21"/>
      <c r="P66" s="21"/>
      <c r="Q66" s="21"/>
    </row>
    <row r="67" spans="1:17" x14ac:dyDescent="0.3">
      <c r="A67" s="1"/>
      <c r="B67" s="1" t="s">
        <v>8</v>
      </c>
      <c r="C67" s="3">
        <v>4.5</v>
      </c>
      <c r="D67" s="3">
        <v>5</v>
      </c>
      <c r="E67" s="3">
        <v>3.75</v>
      </c>
      <c r="F67" s="3">
        <v>4</v>
      </c>
      <c r="G67" s="3">
        <v>3.8</v>
      </c>
      <c r="H67" s="3">
        <v>4.8</v>
      </c>
      <c r="K67" s="20" t="s">
        <v>6</v>
      </c>
      <c r="L67" s="21">
        <v>0.5</v>
      </c>
      <c r="M67" s="21">
        <v>0.6</v>
      </c>
      <c r="N67" s="21">
        <v>0.7</v>
      </c>
      <c r="O67" s="21">
        <v>0.55000000000000004</v>
      </c>
      <c r="P67" s="21">
        <v>0.6</v>
      </c>
      <c r="Q67" s="21">
        <v>0.65</v>
      </c>
    </row>
    <row r="68" spans="1:17" x14ac:dyDescent="0.3">
      <c r="A68" s="1"/>
      <c r="B68" s="1" t="s">
        <v>9</v>
      </c>
      <c r="C68" s="3">
        <v>5</v>
      </c>
      <c r="D68" s="3">
        <v>5.5</v>
      </c>
      <c r="E68" s="3">
        <v>3.75</v>
      </c>
      <c r="F68" s="3">
        <v>4.25</v>
      </c>
      <c r="G68" s="3">
        <v>4</v>
      </c>
      <c r="H68" s="3">
        <v>6</v>
      </c>
      <c r="K68" s="20" t="s">
        <v>8</v>
      </c>
      <c r="L68" s="21">
        <v>0.5</v>
      </c>
      <c r="M68" s="21">
        <v>0.6</v>
      </c>
      <c r="N68" s="21">
        <v>0.7</v>
      </c>
      <c r="O68" s="21">
        <v>0.55000000000000004</v>
      </c>
      <c r="P68" s="21">
        <v>0.6</v>
      </c>
      <c r="Q68" s="21">
        <v>0.65</v>
      </c>
    </row>
    <row r="69" spans="1:17" x14ac:dyDescent="0.3">
      <c r="A69" s="1"/>
      <c r="B69" s="1"/>
      <c r="C69" s="3"/>
      <c r="D69" s="3"/>
      <c r="E69" s="3"/>
      <c r="F69" s="3"/>
      <c r="G69" s="3"/>
      <c r="H69" s="3"/>
      <c r="K69" s="20" t="s">
        <v>9</v>
      </c>
      <c r="L69" s="21">
        <v>0.5</v>
      </c>
      <c r="M69" s="21">
        <v>0.6</v>
      </c>
      <c r="N69" s="21">
        <v>0.7</v>
      </c>
      <c r="O69" s="21">
        <v>0.55000000000000004</v>
      </c>
      <c r="P69" s="21">
        <v>0.6</v>
      </c>
      <c r="Q69" s="21">
        <v>0.65</v>
      </c>
    </row>
    <row r="70" spans="1:17" x14ac:dyDescent="0.3">
      <c r="A70" s="1" t="s">
        <v>10</v>
      </c>
      <c r="B70" s="1" t="s">
        <v>6</v>
      </c>
      <c r="C70" s="3">
        <v>5</v>
      </c>
      <c r="D70" s="3">
        <v>5.5</v>
      </c>
      <c r="E70" s="3">
        <v>6</v>
      </c>
      <c r="F70" s="3">
        <v>4.75</v>
      </c>
      <c r="G70" s="3">
        <v>3.75</v>
      </c>
      <c r="H70" s="3">
        <v>5.85</v>
      </c>
      <c r="K70" s="20" t="s">
        <v>10</v>
      </c>
      <c r="L70" s="21"/>
      <c r="M70" s="21"/>
      <c r="N70" s="21"/>
      <c r="O70" s="21"/>
      <c r="P70" s="21"/>
      <c r="Q70" s="21"/>
    </row>
    <row r="71" spans="1:17" x14ac:dyDescent="0.3">
      <c r="A71" s="1"/>
      <c r="B71" s="1" t="s">
        <v>8</v>
      </c>
      <c r="C71" s="3">
        <v>6</v>
      </c>
      <c r="D71" s="3">
        <v>7</v>
      </c>
      <c r="E71" s="3">
        <v>6</v>
      </c>
      <c r="F71" s="3">
        <v>5.75</v>
      </c>
      <c r="G71" s="3">
        <v>5.75</v>
      </c>
      <c r="H71" s="3">
        <v>6.5</v>
      </c>
      <c r="K71" s="20" t="s">
        <v>6</v>
      </c>
      <c r="L71" s="21">
        <v>0.7</v>
      </c>
      <c r="M71" s="21">
        <v>0.8</v>
      </c>
      <c r="N71" s="21">
        <v>0.9</v>
      </c>
      <c r="O71" s="21">
        <v>0.7</v>
      </c>
      <c r="P71" s="21">
        <v>0.55000000000000004</v>
      </c>
      <c r="Q71" s="21">
        <v>0.88</v>
      </c>
    </row>
    <row r="72" spans="1:17" x14ac:dyDescent="0.3">
      <c r="A72" s="1"/>
      <c r="B72" s="1" t="s">
        <v>9</v>
      </c>
      <c r="C72" s="3">
        <v>5.8</v>
      </c>
      <c r="D72" s="3">
        <v>6</v>
      </c>
      <c r="E72" s="3">
        <v>5.8</v>
      </c>
      <c r="F72" s="3">
        <v>6.5</v>
      </c>
      <c r="G72" s="3">
        <v>5</v>
      </c>
      <c r="H72" s="3">
        <v>6.25</v>
      </c>
      <c r="K72" s="20" t="s">
        <v>8</v>
      </c>
      <c r="L72" s="21">
        <v>0.7</v>
      </c>
      <c r="M72" s="21">
        <v>0.8</v>
      </c>
      <c r="N72" s="21">
        <v>0.9</v>
      </c>
      <c r="O72" s="21">
        <v>0.7</v>
      </c>
      <c r="P72" s="21">
        <v>0.55000000000000004</v>
      </c>
      <c r="Q72" s="21">
        <v>0.88</v>
      </c>
    </row>
    <row r="73" spans="1:17" x14ac:dyDescent="0.3">
      <c r="A73" s="1"/>
      <c r="B73" s="1"/>
      <c r="C73" s="3"/>
      <c r="D73" s="3"/>
      <c r="E73" s="3"/>
      <c r="F73" s="3"/>
      <c r="G73" s="3"/>
      <c r="H73" s="3"/>
      <c r="K73" s="20" t="s">
        <v>9</v>
      </c>
      <c r="L73" s="21">
        <v>0.7</v>
      </c>
      <c r="M73" s="21">
        <v>0.8</v>
      </c>
      <c r="N73" s="21">
        <v>0.9</v>
      </c>
      <c r="O73" s="21">
        <v>0.7</v>
      </c>
      <c r="P73" s="21">
        <v>0.55000000000000004</v>
      </c>
      <c r="Q73" s="21">
        <v>0.88</v>
      </c>
    </row>
    <row r="74" spans="1:17" x14ac:dyDescent="0.3">
      <c r="A74" s="1" t="s">
        <v>12</v>
      </c>
      <c r="B74" s="1" t="s">
        <v>6</v>
      </c>
      <c r="C74" s="3">
        <v>6.5</v>
      </c>
      <c r="D74" s="3">
        <v>8</v>
      </c>
      <c r="E74" s="3">
        <v>5.3</v>
      </c>
      <c r="F74" s="3">
        <v>5</v>
      </c>
      <c r="G74" s="3">
        <v>6.2</v>
      </c>
      <c r="H74" s="3">
        <v>7.2</v>
      </c>
      <c r="K74" s="20" t="s">
        <v>12</v>
      </c>
      <c r="L74" s="21"/>
      <c r="M74" s="21"/>
      <c r="N74" s="21"/>
      <c r="O74" s="21"/>
      <c r="P74" s="21"/>
      <c r="Q74" s="21"/>
    </row>
    <row r="75" spans="1:17" x14ac:dyDescent="0.3">
      <c r="A75" s="1"/>
      <c r="B75" s="1" t="s">
        <v>8</v>
      </c>
      <c r="C75" s="3">
        <v>5.5</v>
      </c>
      <c r="D75" s="3">
        <v>5.5</v>
      </c>
      <c r="E75" s="3">
        <v>5.5</v>
      </c>
      <c r="F75" s="3">
        <v>5.5</v>
      </c>
      <c r="G75" s="3">
        <v>5.5</v>
      </c>
      <c r="H75" s="3">
        <v>5</v>
      </c>
      <c r="K75" s="20" t="s">
        <v>6</v>
      </c>
      <c r="L75" s="21">
        <v>0.98</v>
      </c>
      <c r="M75" s="21">
        <v>1.2</v>
      </c>
      <c r="N75" s="21">
        <v>0.8</v>
      </c>
      <c r="O75" s="21">
        <v>0.75</v>
      </c>
      <c r="P75" s="21">
        <v>0.9</v>
      </c>
      <c r="Q75" s="21">
        <v>1.01</v>
      </c>
    </row>
    <row r="76" spans="1:17" x14ac:dyDescent="0.3">
      <c r="A76" s="1"/>
      <c r="B76" s="1" t="s">
        <v>9</v>
      </c>
      <c r="C76" s="3">
        <v>6</v>
      </c>
      <c r="D76" s="3">
        <v>6</v>
      </c>
      <c r="E76" s="3">
        <v>6</v>
      </c>
      <c r="F76" s="3">
        <v>6</v>
      </c>
      <c r="G76" s="3">
        <v>6</v>
      </c>
      <c r="H76" s="3">
        <v>5.5</v>
      </c>
      <c r="K76" s="20" t="s">
        <v>8</v>
      </c>
      <c r="L76" s="21">
        <v>0.98</v>
      </c>
      <c r="M76" s="21">
        <v>1.2</v>
      </c>
      <c r="N76" s="21">
        <v>0.8</v>
      </c>
      <c r="O76" s="21">
        <v>0.75</v>
      </c>
      <c r="P76" s="21">
        <v>0.9</v>
      </c>
      <c r="Q76" s="21">
        <v>1.01</v>
      </c>
    </row>
    <row r="77" spans="1:17" x14ac:dyDescent="0.3">
      <c r="A77" s="1"/>
      <c r="B77" s="1"/>
      <c r="C77" s="3"/>
      <c r="D77" s="3"/>
      <c r="E77" s="3"/>
      <c r="F77" s="3"/>
      <c r="G77" s="3"/>
      <c r="H77" s="3"/>
      <c r="K77" s="20" t="s">
        <v>9</v>
      </c>
      <c r="L77" s="21">
        <v>0.98</v>
      </c>
      <c r="M77" s="21">
        <v>1.2</v>
      </c>
      <c r="N77" s="21">
        <v>0.8</v>
      </c>
      <c r="O77" s="21">
        <v>0.75</v>
      </c>
      <c r="P77" s="21">
        <v>0.9</v>
      </c>
      <c r="Q77" s="21">
        <v>1.01</v>
      </c>
    </row>
    <row r="78" spans="1:17" x14ac:dyDescent="0.3">
      <c r="A78" s="1" t="s">
        <v>14</v>
      </c>
      <c r="B78" s="1" t="s">
        <v>6</v>
      </c>
      <c r="C78" s="3">
        <v>5.25</v>
      </c>
      <c r="D78" s="3">
        <v>6</v>
      </c>
      <c r="E78" s="3">
        <v>4.75</v>
      </c>
      <c r="F78" s="3">
        <v>5.5</v>
      </c>
      <c r="G78" s="3">
        <v>4.5</v>
      </c>
      <c r="H78" s="3">
        <v>5.85</v>
      </c>
      <c r="K78" s="20" t="s">
        <v>14</v>
      </c>
      <c r="L78" s="21"/>
      <c r="M78" s="21"/>
      <c r="N78" s="21"/>
      <c r="O78" s="21"/>
      <c r="P78" s="21"/>
      <c r="Q78" s="21"/>
    </row>
    <row r="79" spans="1:17" x14ac:dyDescent="0.3">
      <c r="A79" s="1"/>
      <c r="B79" s="1" t="s">
        <v>8</v>
      </c>
      <c r="C79" s="3">
        <v>5</v>
      </c>
      <c r="D79" s="3">
        <v>6.5</v>
      </c>
      <c r="E79" s="3">
        <v>7.5</v>
      </c>
      <c r="F79" s="3">
        <v>6.25</v>
      </c>
      <c r="G79" s="3">
        <v>4.75</v>
      </c>
      <c r="H79" s="3">
        <v>7</v>
      </c>
      <c r="K79" s="20" t="s">
        <v>6</v>
      </c>
      <c r="L79" s="21">
        <v>0.79</v>
      </c>
      <c r="M79" s="21">
        <v>0.9</v>
      </c>
      <c r="N79" s="21">
        <v>0.7</v>
      </c>
      <c r="O79" s="21">
        <v>0.83</v>
      </c>
      <c r="P79" s="21">
        <v>0.68</v>
      </c>
      <c r="Q79" s="21">
        <v>0.8</v>
      </c>
    </row>
    <row r="80" spans="1:17" x14ac:dyDescent="0.3">
      <c r="A80" s="1"/>
      <c r="B80" s="1" t="s">
        <v>9</v>
      </c>
      <c r="C80" s="3">
        <v>5.4</v>
      </c>
      <c r="D80" s="3">
        <v>6.2</v>
      </c>
      <c r="E80" s="3">
        <v>5.65</v>
      </c>
      <c r="F80" s="3">
        <v>5</v>
      </c>
      <c r="G80" s="3">
        <v>5.5</v>
      </c>
      <c r="H80" s="3">
        <v>4.8</v>
      </c>
      <c r="K80" s="20" t="s">
        <v>8</v>
      </c>
      <c r="L80" s="21">
        <v>0.79</v>
      </c>
      <c r="M80" s="21">
        <v>0.9</v>
      </c>
      <c r="N80" s="21">
        <v>0.7</v>
      </c>
      <c r="O80" s="21">
        <v>0.83</v>
      </c>
      <c r="P80" s="21">
        <v>0.68</v>
      </c>
      <c r="Q80" s="21">
        <v>0.8</v>
      </c>
    </row>
    <row r="81" spans="6:17" x14ac:dyDescent="0.3">
      <c r="K81" s="20" t="s">
        <v>9</v>
      </c>
      <c r="L81" s="21">
        <v>0.79</v>
      </c>
      <c r="M81" s="21">
        <v>0.9</v>
      </c>
      <c r="N81" s="21">
        <v>0.7</v>
      </c>
      <c r="O81" s="21">
        <v>0.83</v>
      </c>
      <c r="P81" s="21">
        <v>0.68</v>
      </c>
      <c r="Q81" s="21">
        <v>0.8</v>
      </c>
    </row>
    <row r="82" spans="6:17" x14ac:dyDescent="0.3">
      <c r="K82" s="28"/>
      <c r="L82" s="29"/>
      <c r="M82" s="29"/>
      <c r="N82" s="29"/>
      <c r="O82" s="29"/>
      <c r="P82" s="29"/>
      <c r="Q82" s="29"/>
    </row>
    <row r="83" spans="6:17" ht="27" x14ac:dyDescent="0.3">
      <c r="G83" s="45" t="s">
        <v>633</v>
      </c>
      <c r="H83" s="47" t="s">
        <v>428</v>
      </c>
      <c r="I83" s="30"/>
      <c r="J83" s="30"/>
      <c r="K83" s="48"/>
      <c r="L83" s="49"/>
      <c r="M83" s="29"/>
      <c r="N83" s="29"/>
      <c r="O83" s="29"/>
      <c r="P83" s="29"/>
      <c r="Q83" s="29"/>
    </row>
    <row r="84" spans="6:17" x14ac:dyDescent="0.3">
      <c r="F84" s="20" t="s">
        <v>427</v>
      </c>
      <c r="G84" s="24" t="s">
        <v>7</v>
      </c>
      <c r="H84" s="24" t="s">
        <v>11</v>
      </c>
      <c r="I84" s="24" t="s">
        <v>13</v>
      </c>
      <c r="J84" s="24" t="s">
        <v>15</v>
      </c>
      <c r="K84" s="24" t="s">
        <v>16</v>
      </c>
      <c r="L84" s="24" t="s">
        <v>18</v>
      </c>
      <c r="M84" s="29"/>
      <c r="N84" s="29"/>
      <c r="O84" s="29"/>
      <c r="P84" s="29"/>
      <c r="Q84" s="29"/>
    </row>
    <row r="85" spans="6:17" x14ac:dyDescent="0.3">
      <c r="F85" s="22" t="s">
        <v>5</v>
      </c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</row>
    <row r="86" spans="6:17" x14ac:dyDescent="0.3">
      <c r="F86" s="20" t="s">
        <v>6</v>
      </c>
      <c r="G86" s="23">
        <f t="shared" ref="G86:L88" si="8">C66+(L67*10)</f>
        <v>8.5</v>
      </c>
      <c r="H86" s="23">
        <f t="shared" si="8"/>
        <v>10</v>
      </c>
      <c r="I86" s="23">
        <f t="shared" si="8"/>
        <v>12</v>
      </c>
      <c r="J86" s="23">
        <f t="shared" si="8"/>
        <v>9.25</v>
      </c>
      <c r="K86" s="23">
        <f t="shared" si="8"/>
        <v>10</v>
      </c>
      <c r="L86" s="23">
        <f t="shared" si="8"/>
        <v>11</v>
      </c>
      <c r="M86" s="29"/>
      <c r="N86" s="29"/>
      <c r="O86" s="29"/>
      <c r="P86" s="29"/>
      <c r="Q86" s="29"/>
    </row>
    <row r="87" spans="6:17" x14ac:dyDescent="0.3">
      <c r="F87" s="20" t="s">
        <v>8</v>
      </c>
      <c r="G87" s="23">
        <f t="shared" si="8"/>
        <v>9.5</v>
      </c>
      <c r="H87" s="23">
        <f t="shared" si="8"/>
        <v>11</v>
      </c>
      <c r="I87" s="23">
        <f t="shared" si="8"/>
        <v>10.75</v>
      </c>
      <c r="J87" s="23">
        <f t="shared" si="8"/>
        <v>9.5</v>
      </c>
      <c r="K87" s="23">
        <f t="shared" si="8"/>
        <v>9.8000000000000007</v>
      </c>
      <c r="L87" s="23">
        <f t="shared" si="8"/>
        <v>11.3</v>
      </c>
      <c r="M87" s="29"/>
      <c r="N87" s="29"/>
      <c r="O87" s="29"/>
      <c r="P87" s="29"/>
      <c r="Q87" s="29"/>
    </row>
    <row r="88" spans="6:17" x14ac:dyDescent="0.3">
      <c r="F88" s="20" t="s">
        <v>9</v>
      </c>
      <c r="G88" s="23">
        <f t="shared" si="8"/>
        <v>10</v>
      </c>
      <c r="H88" s="23">
        <f t="shared" si="8"/>
        <v>11.5</v>
      </c>
      <c r="I88" s="23">
        <f t="shared" si="8"/>
        <v>10.75</v>
      </c>
      <c r="J88" s="23">
        <f t="shared" si="8"/>
        <v>9.75</v>
      </c>
      <c r="K88" s="23">
        <f t="shared" si="8"/>
        <v>10</v>
      </c>
      <c r="L88" s="23">
        <f t="shared" si="8"/>
        <v>12.5</v>
      </c>
      <c r="M88" s="29"/>
      <c r="N88" s="29"/>
      <c r="O88" s="29"/>
      <c r="P88" s="29"/>
      <c r="Q88" s="29"/>
    </row>
    <row r="89" spans="6:17" x14ac:dyDescent="0.3">
      <c r="F89" s="20" t="s">
        <v>10</v>
      </c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</row>
    <row r="90" spans="6:17" x14ac:dyDescent="0.3">
      <c r="F90" s="20" t="s">
        <v>6</v>
      </c>
      <c r="G90" s="21">
        <f t="shared" ref="G90:L92" si="9">C70+(L71*10)</f>
        <v>12</v>
      </c>
      <c r="H90" s="21">
        <f t="shared" si="9"/>
        <v>13.5</v>
      </c>
      <c r="I90" s="21">
        <f t="shared" si="9"/>
        <v>15</v>
      </c>
      <c r="J90" s="21">
        <f t="shared" si="9"/>
        <v>11.75</v>
      </c>
      <c r="K90" s="21">
        <f t="shared" si="9"/>
        <v>9.25</v>
      </c>
      <c r="L90" s="21">
        <f t="shared" si="9"/>
        <v>14.65</v>
      </c>
      <c r="M90" s="29"/>
      <c r="N90" s="29"/>
      <c r="O90" s="29"/>
      <c r="P90" s="29"/>
      <c r="Q90" s="29"/>
    </row>
    <row r="91" spans="6:17" x14ac:dyDescent="0.3">
      <c r="F91" s="20" t="s">
        <v>8</v>
      </c>
      <c r="G91" s="21">
        <f t="shared" si="9"/>
        <v>13</v>
      </c>
      <c r="H91" s="21">
        <f t="shared" si="9"/>
        <v>15</v>
      </c>
      <c r="I91" s="21">
        <f t="shared" si="9"/>
        <v>15</v>
      </c>
      <c r="J91" s="21">
        <f t="shared" si="9"/>
        <v>12.75</v>
      </c>
      <c r="K91" s="21">
        <f t="shared" si="9"/>
        <v>11.25</v>
      </c>
      <c r="L91" s="21">
        <f t="shared" si="9"/>
        <v>15.3</v>
      </c>
      <c r="M91" s="29"/>
      <c r="N91" s="29"/>
      <c r="O91" s="29"/>
      <c r="P91" s="29"/>
      <c r="Q91" s="29"/>
    </row>
    <row r="92" spans="6:17" x14ac:dyDescent="0.3">
      <c r="F92" s="20" t="s">
        <v>9</v>
      </c>
      <c r="G92" s="21">
        <f t="shared" si="9"/>
        <v>12.8</v>
      </c>
      <c r="H92" s="21">
        <f t="shared" si="9"/>
        <v>14</v>
      </c>
      <c r="I92" s="21">
        <f t="shared" si="9"/>
        <v>14.8</v>
      </c>
      <c r="J92" s="21">
        <f t="shared" si="9"/>
        <v>13.5</v>
      </c>
      <c r="K92" s="21">
        <f t="shared" si="9"/>
        <v>10.5</v>
      </c>
      <c r="L92" s="21">
        <f t="shared" si="9"/>
        <v>15.05</v>
      </c>
      <c r="M92" s="29"/>
      <c r="N92" s="29"/>
      <c r="O92" s="29"/>
      <c r="P92" s="29"/>
      <c r="Q92" s="29"/>
    </row>
    <row r="93" spans="6:17" x14ac:dyDescent="0.3">
      <c r="F93" s="20" t="s">
        <v>12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</row>
    <row r="94" spans="6:17" x14ac:dyDescent="0.3">
      <c r="F94" s="20" t="s">
        <v>6</v>
      </c>
      <c r="G94" s="21">
        <f t="shared" ref="G94:L96" si="10">C74+(L75*10)</f>
        <v>16.3</v>
      </c>
      <c r="H94" s="21">
        <f t="shared" si="10"/>
        <v>20</v>
      </c>
      <c r="I94" s="21">
        <f t="shared" si="10"/>
        <v>13.3</v>
      </c>
      <c r="J94" s="21">
        <f t="shared" si="10"/>
        <v>12.5</v>
      </c>
      <c r="K94" s="21">
        <f t="shared" si="10"/>
        <v>15.2</v>
      </c>
      <c r="L94" s="21">
        <f t="shared" si="10"/>
        <v>17.3</v>
      </c>
      <c r="M94" s="29"/>
      <c r="N94" s="29"/>
      <c r="O94" s="29"/>
      <c r="P94" s="29"/>
      <c r="Q94" s="29"/>
    </row>
    <row r="95" spans="6:17" x14ac:dyDescent="0.3">
      <c r="F95" s="20" t="s">
        <v>8</v>
      </c>
      <c r="G95" s="21">
        <f t="shared" si="10"/>
        <v>15.3</v>
      </c>
      <c r="H95" s="21">
        <f t="shared" si="10"/>
        <v>17.5</v>
      </c>
      <c r="I95" s="21">
        <f t="shared" si="10"/>
        <v>13.5</v>
      </c>
      <c r="J95" s="21">
        <f t="shared" si="10"/>
        <v>13</v>
      </c>
      <c r="K95" s="21">
        <f t="shared" si="10"/>
        <v>14.5</v>
      </c>
      <c r="L95" s="21">
        <f t="shared" si="10"/>
        <v>15.1</v>
      </c>
      <c r="M95" s="29"/>
      <c r="N95" s="29"/>
      <c r="O95" s="29"/>
      <c r="P95" s="29"/>
      <c r="Q95" s="29"/>
    </row>
    <row r="96" spans="6:17" x14ac:dyDescent="0.3">
      <c r="F96" s="20" t="s">
        <v>9</v>
      </c>
      <c r="G96" s="21">
        <f t="shared" si="10"/>
        <v>15.8</v>
      </c>
      <c r="H96" s="21">
        <f t="shared" si="10"/>
        <v>18</v>
      </c>
      <c r="I96" s="21">
        <f t="shared" si="10"/>
        <v>14</v>
      </c>
      <c r="J96" s="21">
        <f t="shared" si="10"/>
        <v>13.5</v>
      </c>
      <c r="K96" s="21">
        <f t="shared" si="10"/>
        <v>15</v>
      </c>
      <c r="L96" s="21">
        <f t="shared" si="10"/>
        <v>15.6</v>
      </c>
      <c r="M96" s="29"/>
      <c r="N96" s="29"/>
      <c r="O96" s="29"/>
      <c r="P96" s="29"/>
      <c r="Q96" s="29"/>
    </row>
    <row r="97" spans="1:17" x14ac:dyDescent="0.3">
      <c r="F97" s="20" t="s">
        <v>14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</row>
    <row r="98" spans="1:17" x14ac:dyDescent="0.3">
      <c r="F98" s="20" t="s">
        <v>6</v>
      </c>
      <c r="G98" s="21">
        <f t="shared" ref="G98:L100" si="11">C78+(L79*10)</f>
        <v>13.15</v>
      </c>
      <c r="H98" s="21">
        <f t="shared" si="11"/>
        <v>15</v>
      </c>
      <c r="I98" s="21">
        <f t="shared" si="11"/>
        <v>11.75</v>
      </c>
      <c r="J98" s="21">
        <f t="shared" si="11"/>
        <v>13.799999999999999</v>
      </c>
      <c r="K98" s="21">
        <f t="shared" si="11"/>
        <v>11.3</v>
      </c>
      <c r="L98" s="21">
        <f t="shared" si="11"/>
        <v>13.85</v>
      </c>
      <c r="M98" s="29"/>
      <c r="N98" s="29"/>
      <c r="O98" s="29"/>
      <c r="P98" s="29"/>
      <c r="Q98" s="29"/>
    </row>
    <row r="99" spans="1:17" x14ac:dyDescent="0.3">
      <c r="F99" s="20" t="s">
        <v>8</v>
      </c>
      <c r="G99" s="21">
        <f t="shared" si="11"/>
        <v>12.9</v>
      </c>
      <c r="H99" s="21">
        <f t="shared" si="11"/>
        <v>15.5</v>
      </c>
      <c r="I99" s="21">
        <f t="shared" si="11"/>
        <v>14.5</v>
      </c>
      <c r="J99" s="21">
        <f t="shared" si="11"/>
        <v>14.549999999999999</v>
      </c>
      <c r="K99" s="21">
        <f t="shared" si="11"/>
        <v>11.55</v>
      </c>
      <c r="L99" s="21">
        <f t="shared" si="11"/>
        <v>15</v>
      </c>
      <c r="M99" s="29"/>
      <c r="N99" s="29"/>
      <c r="O99" s="29"/>
      <c r="P99" s="29"/>
      <c r="Q99" s="29"/>
    </row>
    <row r="100" spans="1:17" x14ac:dyDescent="0.3">
      <c r="F100" s="20" t="s">
        <v>9</v>
      </c>
      <c r="G100" s="21">
        <f t="shared" si="11"/>
        <v>13.3</v>
      </c>
      <c r="H100" s="21">
        <f t="shared" si="11"/>
        <v>15.2</v>
      </c>
      <c r="I100" s="21">
        <f t="shared" si="11"/>
        <v>12.65</v>
      </c>
      <c r="J100" s="21">
        <f t="shared" si="11"/>
        <v>13.299999999999999</v>
      </c>
      <c r="K100" s="21">
        <f t="shared" si="11"/>
        <v>12.3</v>
      </c>
      <c r="L100" s="21">
        <f t="shared" si="11"/>
        <v>12.8</v>
      </c>
      <c r="M100" s="29"/>
      <c r="N100" s="29"/>
      <c r="O100" s="29"/>
      <c r="P100" s="29"/>
      <c r="Q100" s="29"/>
    </row>
    <row r="101" spans="1:17" x14ac:dyDescent="0.3">
      <c r="F101" s="28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</row>
    <row r="102" spans="1:17" x14ac:dyDescent="0.3">
      <c r="F102" s="28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</row>
    <row r="103" spans="1:17" x14ac:dyDescent="0.3">
      <c r="A103" s="1"/>
      <c r="B103" s="2" t="s">
        <v>19</v>
      </c>
      <c r="C103" s="1"/>
      <c r="D103" s="1"/>
      <c r="E103" s="1"/>
      <c r="F103" s="1"/>
      <c r="G103" s="1"/>
      <c r="H103" s="1"/>
    </row>
    <row r="104" spans="1:17" ht="40.200000000000003" x14ac:dyDescent="0.3">
      <c r="A104" s="1"/>
      <c r="B104" s="1"/>
      <c r="C104" s="1" t="s">
        <v>7</v>
      </c>
      <c r="D104" s="1" t="s">
        <v>11</v>
      </c>
      <c r="E104" s="1" t="s">
        <v>13</v>
      </c>
      <c r="F104" s="1" t="s">
        <v>15</v>
      </c>
      <c r="G104" s="1" t="s">
        <v>16</v>
      </c>
      <c r="H104" s="1" t="s">
        <v>18</v>
      </c>
      <c r="I104" s="1" t="s">
        <v>21</v>
      </c>
      <c r="J104" s="1"/>
      <c r="K104" s="12" t="s">
        <v>27</v>
      </c>
      <c r="L104" s="1" t="s">
        <v>28</v>
      </c>
      <c r="M104" s="1" t="s">
        <v>29</v>
      </c>
      <c r="N104" s="1" t="s">
        <v>25</v>
      </c>
      <c r="O104" s="1" t="s">
        <v>30</v>
      </c>
    </row>
    <row r="105" spans="1:17" x14ac:dyDescent="0.3">
      <c r="A105" s="1" t="s">
        <v>1</v>
      </c>
      <c r="B105" s="1" t="s">
        <v>6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>
        <f>SUM(C105:H105)</f>
        <v>0</v>
      </c>
      <c r="K105">
        <f>SUM(C105:H105)</f>
        <v>0</v>
      </c>
      <c r="L105" s="1" t="s">
        <v>28</v>
      </c>
      <c r="M105">
        <f>SUM(C5,C8,C11,C14)</f>
        <v>0</v>
      </c>
      <c r="N105" s="1" t="s">
        <v>25</v>
      </c>
      <c r="O105" s="1">
        <v>32500</v>
      </c>
      <c r="P105" t="s">
        <v>31</v>
      </c>
    </row>
    <row r="106" spans="1:17" x14ac:dyDescent="0.3">
      <c r="A106" s="1"/>
      <c r="B106" s="1" t="s">
        <v>8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>
        <f t="shared" ref="I106:I116" si="12">SUM(C106:H106)</f>
        <v>0</v>
      </c>
      <c r="K106">
        <f t="shared" ref="K106:K116" si="13">SUM(C106:H106)</f>
        <v>0</v>
      </c>
      <c r="L106" s="1" t="s">
        <v>28</v>
      </c>
      <c r="M106">
        <f>SUM(C6,C9,C12,C15)</f>
        <v>0</v>
      </c>
      <c r="N106" s="1" t="s">
        <v>25</v>
      </c>
      <c r="O106" s="1">
        <v>32500</v>
      </c>
      <c r="P106" t="s">
        <v>32</v>
      </c>
    </row>
    <row r="107" spans="1:17" x14ac:dyDescent="0.3">
      <c r="A107" s="1"/>
      <c r="B107" s="1" t="s">
        <v>9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>
        <f t="shared" si="12"/>
        <v>0</v>
      </c>
      <c r="K107">
        <f t="shared" si="13"/>
        <v>0</v>
      </c>
      <c r="L107" s="1" t="s">
        <v>28</v>
      </c>
      <c r="M107">
        <f>SUM(C7,C10,C13,C16)</f>
        <v>0</v>
      </c>
      <c r="N107" s="1" t="s">
        <v>25</v>
      </c>
      <c r="O107" s="1">
        <v>32500</v>
      </c>
      <c r="P107" t="s">
        <v>33</v>
      </c>
    </row>
    <row r="108" spans="1:17" x14ac:dyDescent="0.3">
      <c r="A108" s="1" t="s">
        <v>2</v>
      </c>
      <c r="B108" s="1" t="s">
        <v>6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>
        <f t="shared" si="12"/>
        <v>0</v>
      </c>
      <c r="K108">
        <f t="shared" si="13"/>
        <v>0</v>
      </c>
      <c r="L108" s="1" t="s">
        <v>28</v>
      </c>
      <c r="M108">
        <f>SUM(D5,D8,D11,D14)</f>
        <v>0</v>
      </c>
      <c r="N108" s="1" t="s">
        <v>25</v>
      </c>
      <c r="O108" s="1">
        <v>25000</v>
      </c>
      <c r="P108" t="s">
        <v>34</v>
      </c>
    </row>
    <row r="109" spans="1:17" x14ac:dyDescent="0.3">
      <c r="A109" s="1"/>
      <c r="B109" s="1" t="s">
        <v>8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>
        <f t="shared" si="12"/>
        <v>0</v>
      </c>
      <c r="K109">
        <f t="shared" si="13"/>
        <v>0</v>
      </c>
      <c r="L109" s="1" t="s">
        <v>28</v>
      </c>
      <c r="M109">
        <f>SUM(D6,D9,D12,D15)</f>
        <v>0</v>
      </c>
      <c r="N109" s="1" t="s">
        <v>25</v>
      </c>
      <c r="O109" s="1">
        <v>25000</v>
      </c>
      <c r="P109" t="s">
        <v>35</v>
      </c>
    </row>
    <row r="110" spans="1:17" x14ac:dyDescent="0.3">
      <c r="A110" s="1"/>
      <c r="B110" s="1" t="s">
        <v>9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>
        <f t="shared" si="12"/>
        <v>0</v>
      </c>
      <c r="K110">
        <f t="shared" si="13"/>
        <v>0</v>
      </c>
      <c r="L110" s="1" t="s">
        <v>28</v>
      </c>
      <c r="M110">
        <f>SUM(D7,D10,D13,D16)</f>
        <v>0</v>
      </c>
      <c r="N110" s="1" t="s">
        <v>25</v>
      </c>
      <c r="O110" s="1">
        <v>25000</v>
      </c>
      <c r="P110" t="s">
        <v>36</v>
      </c>
    </row>
    <row r="111" spans="1:17" x14ac:dyDescent="0.3">
      <c r="A111" s="1" t="s">
        <v>3</v>
      </c>
      <c r="B111" s="1" t="s">
        <v>6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>
        <f t="shared" si="12"/>
        <v>0</v>
      </c>
      <c r="K111">
        <f t="shared" si="13"/>
        <v>0</v>
      </c>
      <c r="L111" s="1" t="s">
        <v>28</v>
      </c>
      <c r="M111">
        <f>SUM(E5,E8,E11,E14)</f>
        <v>0</v>
      </c>
      <c r="N111" s="1" t="s">
        <v>25</v>
      </c>
      <c r="O111" s="1">
        <v>20000</v>
      </c>
      <c r="P111" t="s">
        <v>37</v>
      </c>
    </row>
    <row r="112" spans="1:17" x14ac:dyDescent="0.3">
      <c r="A112" s="1"/>
      <c r="B112" s="1" t="s">
        <v>8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>
        <f t="shared" si="12"/>
        <v>0</v>
      </c>
      <c r="K112">
        <f t="shared" si="13"/>
        <v>0</v>
      </c>
      <c r="L112" s="1" t="s">
        <v>28</v>
      </c>
      <c r="M112">
        <f>SUM(E6,E9,E12,E15)</f>
        <v>0</v>
      </c>
      <c r="N112" s="1" t="s">
        <v>25</v>
      </c>
      <c r="O112" s="1">
        <v>20000</v>
      </c>
      <c r="P112" t="s">
        <v>38</v>
      </c>
    </row>
    <row r="113" spans="1:17" x14ac:dyDescent="0.3">
      <c r="A113" s="1"/>
      <c r="B113" s="1" t="s">
        <v>9</v>
      </c>
      <c r="C113" s="14">
        <v>0</v>
      </c>
      <c r="D113" s="14">
        <v>0</v>
      </c>
      <c r="E113" s="14">
        <v>12500</v>
      </c>
      <c r="F113" s="14">
        <v>0</v>
      </c>
      <c r="G113" s="14">
        <v>0</v>
      </c>
      <c r="H113" s="14">
        <v>0</v>
      </c>
      <c r="I113">
        <f t="shared" si="12"/>
        <v>12500</v>
      </c>
      <c r="K113">
        <f t="shared" si="13"/>
        <v>12500</v>
      </c>
      <c r="L113" s="1" t="s">
        <v>28</v>
      </c>
      <c r="M113">
        <f>SUM(E7,E10,E13,E16)</f>
        <v>12500</v>
      </c>
      <c r="N113" s="1" t="s">
        <v>25</v>
      </c>
      <c r="O113" s="1">
        <v>20000</v>
      </c>
      <c r="P113" t="s">
        <v>39</v>
      </c>
    </row>
    <row r="114" spans="1:17" x14ac:dyDescent="0.3">
      <c r="A114" s="1" t="s">
        <v>4</v>
      </c>
      <c r="B114" s="1" t="s">
        <v>6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>
        <f t="shared" si="12"/>
        <v>0</v>
      </c>
      <c r="K114">
        <f t="shared" si="13"/>
        <v>0</v>
      </c>
      <c r="L114" s="1" t="s">
        <v>28</v>
      </c>
      <c r="M114">
        <f>SUM(F5,F8,F11,F14)</f>
        <v>0</v>
      </c>
      <c r="N114" s="1" t="s">
        <v>25</v>
      </c>
      <c r="O114" s="1">
        <v>32500</v>
      </c>
      <c r="P114" t="s">
        <v>40</v>
      </c>
    </row>
    <row r="115" spans="1:17" x14ac:dyDescent="0.3">
      <c r="A115" s="1"/>
      <c r="B115" s="1" t="s">
        <v>8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>
        <f t="shared" si="12"/>
        <v>0</v>
      </c>
      <c r="K115">
        <f t="shared" si="13"/>
        <v>0</v>
      </c>
      <c r="L115" s="1" t="s">
        <v>28</v>
      </c>
      <c r="M115">
        <f>SUM(F6,F9,F12,F15)</f>
        <v>0</v>
      </c>
      <c r="N115" s="1" t="s">
        <v>25</v>
      </c>
      <c r="O115" s="1">
        <v>32500</v>
      </c>
      <c r="P115" t="s">
        <v>41</v>
      </c>
    </row>
    <row r="116" spans="1:17" x14ac:dyDescent="0.3">
      <c r="A116" s="1"/>
      <c r="B116" s="1" t="s">
        <v>9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>
        <f t="shared" si="12"/>
        <v>0</v>
      </c>
      <c r="K116">
        <f t="shared" si="13"/>
        <v>0</v>
      </c>
      <c r="L116" s="1" t="s">
        <v>28</v>
      </c>
      <c r="M116">
        <f>SUM(F7,F10,F13,F16)</f>
        <v>0</v>
      </c>
      <c r="N116" s="1" t="s">
        <v>25</v>
      </c>
      <c r="O116" s="1">
        <v>32500</v>
      </c>
      <c r="P116" t="s">
        <v>42</v>
      </c>
    </row>
    <row r="120" spans="1:17" ht="43.2" x14ac:dyDescent="0.3">
      <c r="G120" s="40" t="s">
        <v>583</v>
      </c>
      <c r="H120" s="8">
        <f>SUMPRODUCT(F145:K147,C105:H107)+SUMPRODUCT(F149:K151,C108:H110)+SUMPRODUCT(F153:K155,C111:H113)+SUMPRODUCT(F157:K159,C114:H116)</f>
        <v>381250</v>
      </c>
    </row>
    <row r="121" spans="1:17" x14ac:dyDescent="0.3">
      <c r="L121" s="16" t="s">
        <v>431</v>
      </c>
    </row>
    <row r="122" spans="1:17" x14ac:dyDescent="0.3">
      <c r="A122" s="1"/>
      <c r="B122" s="2" t="s">
        <v>19</v>
      </c>
      <c r="C122" s="1"/>
      <c r="D122" s="1"/>
      <c r="E122" s="1"/>
      <c r="F122" s="1"/>
      <c r="G122" s="1"/>
      <c r="H122" s="1"/>
    </row>
    <row r="123" spans="1:17" x14ac:dyDescent="0.3">
      <c r="A123" s="1"/>
      <c r="B123" s="1"/>
      <c r="C123" s="1" t="s">
        <v>7</v>
      </c>
      <c r="D123" s="1" t="s">
        <v>11</v>
      </c>
      <c r="E123" s="1" t="s">
        <v>13</v>
      </c>
      <c r="F123" s="1" t="s">
        <v>15</v>
      </c>
      <c r="G123" s="1" t="s">
        <v>16</v>
      </c>
      <c r="H123" s="1" t="s">
        <v>18</v>
      </c>
      <c r="K123" s="20" t="s">
        <v>427</v>
      </c>
      <c r="L123" s="20" t="s">
        <v>7</v>
      </c>
      <c r="M123" s="20" t="s">
        <v>11</v>
      </c>
      <c r="N123" s="20" t="s">
        <v>13</v>
      </c>
      <c r="O123" s="20" t="s">
        <v>15</v>
      </c>
      <c r="P123" s="20" t="s">
        <v>16</v>
      </c>
      <c r="Q123" s="20" t="s">
        <v>18</v>
      </c>
    </row>
    <row r="124" spans="1:17" x14ac:dyDescent="0.3">
      <c r="A124" s="1" t="s">
        <v>1</v>
      </c>
      <c r="B124" s="1" t="s">
        <v>6</v>
      </c>
      <c r="C124" s="3">
        <v>2.2999999999999998</v>
      </c>
      <c r="D124" s="3">
        <v>3</v>
      </c>
      <c r="E124" s="3">
        <v>4.2</v>
      </c>
      <c r="F124" s="3">
        <v>3</v>
      </c>
      <c r="G124" s="3">
        <v>1.25</v>
      </c>
      <c r="H124" s="3">
        <v>4.5</v>
      </c>
      <c r="K124" s="20" t="s">
        <v>1</v>
      </c>
      <c r="L124" s="21"/>
      <c r="M124" s="21"/>
      <c r="N124" s="21"/>
      <c r="O124" s="21"/>
      <c r="P124" s="21"/>
      <c r="Q124" s="21"/>
    </row>
    <row r="125" spans="1:17" x14ac:dyDescent="0.3">
      <c r="A125" s="1"/>
      <c r="B125" s="1" t="s">
        <v>8</v>
      </c>
      <c r="C125" s="3">
        <v>2.2000000000000002</v>
      </c>
      <c r="D125" s="3">
        <v>3</v>
      </c>
      <c r="E125" s="3">
        <v>2.5</v>
      </c>
      <c r="F125" s="3">
        <v>2.8</v>
      </c>
      <c r="G125" s="3">
        <v>3</v>
      </c>
      <c r="H125" s="3">
        <v>2.7</v>
      </c>
      <c r="K125" s="20" t="s">
        <v>6</v>
      </c>
      <c r="L125" s="21">
        <v>2.2999999999999998</v>
      </c>
      <c r="M125" s="21">
        <v>3</v>
      </c>
      <c r="N125" s="21">
        <v>4.2</v>
      </c>
      <c r="O125" s="21">
        <v>3</v>
      </c>
      <c r="P125" s="21">
        <v>1.25</v>
      </c>
      <c r="Q125" s="21">
        <v>4.5</v>
      </c>
    </row>
    <row r="126" spans="1:17" x14ac:dyDescent="0.3">
      <c r="A126" s="1"/>
      <c r="B126" s="1" t="s">
        <v>9</v>
      </c>
      <c r="C126" s="3">
        <v>4</v>
      </c>
      <c r="D126" s="3">
        <v>3.2</v>
      </c>
      <c r="E126" s="3">
        <v>5</v>
      </c>
      <c r="F126" s="3">
        <v>3.2</v>
      </c>
      <c r="G126" s="3">
        <v>4</v>
      </c>
      <c r="H126" s="3">
        <v>4.4000000000000004</v>
      </c>
      <c r="K126" s="20" t="s">
        <v>8</v>
      </c>
      <c r="L126" s="21">
        <v>2.2999999999999998</v>
      </c>
      <c r="M126" s="21">
        <v>3</v>
      </c>
      <c r="N126" s="21">
        <v>4.2</v>
      </c>
      <c r="O126" s="21">
        <v>3</v>
      </c>
      <c r="P126" s="21">
        <v>1.25</v>
      </c>
      <c r="Q126" s="21">
        <v>4.5</v>
      </c>
    </row>
    <row r="127" spans="1:17" x14ac:dyDescent="0.3">
      <c r="A127" s="1"/>
      <c r="B127" s="1"/>
      <c r="C127" s="3"/>
      <c r="D127" s="3"/>
      <c r="E127" s="3"/>
      <c r="F127" s="3"/>
      <c r="G127" s="3"/>
      <c r="H127" s="3"/>
      <c r="K127" s="20" t="s">
        <v>9</v>
      </c>
      <c r="L127" s="21">
        <v>2.2999999999999998</v>
      </c>
      <c r="M127" s="21">
        <v>3</v>
      </c>
      <c r="N127" s="21">
        <v>4.2</v>
      </c>
      <c r="O127" s="21">
        <v>3</v>
      </c>
      <c r="P127" s="21">
        <v>1.25</v>
      </c>
      <c r="Q127" s="21">
        <v>4.5</v>
      </c>
    </row>
    <row r="128" spans="1:17" x14ac:dyDescent="0.3">
      <c r="A128" s="1" t="s">
        <v>2</v>
      </c>
      <c r="B128" s="1" t="s">
        <v>6</v>
      </c>
      <c r="C128" s="3">
        <v>2.5</v>
      </c>
      <c r="D128" s="3">
        <v>2.5</v>
      </c>
      <c r="E128" s="3">
        <v>3</v>
      </c>
      <c r="F128" s="3">
        <v>2.8</v>
      </c>
      <c r="G128" s="3">
        <v>3</v>
      </c>
      <c r="H128" s="3">
        <v>3.2</v>
      </c>
      <c r="K128" s="20" t="s">
        <v>2</v>
      </c>
      <c r="L128" s="21"/>
      <c r="M128" s="21"/>
      <c r="N128" s="21"/>
      <c r="O128" s="21"/>
      <c r="P128" s="21"/>
      <c r="Q128" s="21"/>
    </row>
    <row r="129" spans="1:17" x14ac:dyDescent="0.3">
      <c r="A129" s="1"/>
      <c r="B129" s="1" t="s">
        <v>8</v>
      </c>
      <c r="C129" s="3">
        <v>3.2</v>
      </c>
      <c r="D129" s="3">
        <v>3.5</v>
      </c>
      <c r="E129" s="3">
        <v>3.2</v>
      </c>
      <c r="F129" s="3">
        <v>3.2</v>
      </c>
      <c r="G129" s="3">
        <v>4</v>
      </c>
      <c r="H129" s="3">
        <v>4.9000000000000004</v>
      </c>
      <c r="K129" s="20" t="s">
        <v>6</v>
      </c>
      <c r="L129" s="21">
        <v>2.5</v>
      </c>
      <c r="M129" s="21">
        <v>2.5</v>
      </c>
      <c r="N129" s="21">
        <v>3</v>
      </c>
      <c r="O129" s="21">
        <v>2.8</v>
      </c>
      <c r="P129" s="21">
        <v>3</v>
      </c>
      <c r="Q129" s="21">
        <v>3.2</v>
      </c>
    </row>
    <row r="130" spans="1:17" x14ac:dyDescent="0.3">
      <c r="A130" s="1"/>
      <c r="B130" s="1" t="s">
        <v>9</v>
      </c>
      <c r="C130" s="3">
        <v>5</v>
      </c>
      <c r="D130" s="3">
        <v>4</v>
      </c>
      <c r="E130" s="3">
        <v>3.8</v>
      </c>
      <c r="F130" s="3">
        <v>2.1</v>
      </c>
      <c r="G130" s="3">
        <v>1.95</v>
      </c>
      <c r="H130" s="3">
        <v>3.2</v>
      </c>
      <c r="K130" s="20" t="s">
        <v>8</v>
      </c>
      <c r="L130" s="21">
        <v>2.5</v>
      </c>
      <c r="M130" s="21">
        <v>2.5</v>
      </c>
      <c r="N130" s="21">
        <v>3</v>
      </c>
      <c r="O130" s="21">
        <v>2.8</v>
      </c>
      <c r="P130" s="21">
        <v>3</v>
      </c>
      <c r="Q130" s="21">
        <v>3.2</v>
      </c>
    </row>
    <row r="131" spans="1:17" x14ac:dyDescent="0.3">
      <c r="A131" s="1"/>
      <c r="B131" s="1"/>
      <c r="C131" s="3"/>
      <c r="D131" s="3"/>
      <c r="E131" s="3"/>
      <c r="F131" s="3"/>
      <c r="G131" s="3"/>
      <c r="H131" s="3"/>
      <c r="K131" s="20" t="s">
        <v>9</v>
      </c>
      <c r="L131" s="21">
        <v>2.5</v>
      </c>
      <c r="M131" s="21">
        <v>2.5</v>
      </c>
      <c r="N131" s="21">
        <v>3</v>
      </c>
      <c r="O131" s="21">
        <v>2.8</v>
      </c>
      <c r="P131" s="21">
        <v>3</v>
      </c>
      <c r="Q131" s="21">
        <v>3.2</v>
      </c>
    </row>
    <row r="132" spans="1:17" x14ac:dyDescent="0.3">
      <c r="A132" s="1" t="s">
        <v>3</v>
      </c>
      <c r="B132" s="1" t="s">
        <v>6</v>
      </c>
      <c r="C132" s="3">
        <v>1.25</v>
      </c>
      <c r="D132" s="3">
        <v>2.75</v>
      </c>
      <c r="E132" s="3">
        <v>2.75</v>
      </c>
      <c r="F132" s="3">
        <v>3</v>
      </c>
      <c r="G132" s="3">
        <v>3</v>
      </c>
      <c r="H132" s="3">
        <v>2.9</v>
      </c>
      <c r="K132" s="20" t="s">
        <v>3</v>
      </c>
      <c r="L132" s="21"/>
      <c r="M132" s="21"/>
      <c r="N132" s="21"/>
      <c r="O132" s="21"/>
      <c r="P132" s="21"/>
      <c r="Q132" s="21"/>
    </row>
    <row r="133" spans="1:17" x14ac:dyDescent="0.3">
      <c r="A133" s="1"/>
      <c r="B133" s="1" t="s">
        <v>8</v>
      </c>
      <c r="C133" s="3">
        <v>3</v>
      </c>
      <c r="D133" s="3">
        <v>3</v>
      </c>
      <c r="E133" s="3">
        <v>2.75</v>
      </c>
      <c r="F133" s="3">
        <v>3</v>
      </c>
      <c r="G133" s="3">
        <v>2.75</v>
      </c>
      <c r="H133" s="3">
        <v>2.6</v>
      </c>
      <c r="K133" s="20" t="s">
        <v>6</v>
      </c>
      <c r="L133" s="21">
        <v>1.1000000000000001</v>
      </c>
      <c r="M133" s="21">
        <v>2.75</v>
      </c>
      <c r="N133" s="21">
        <v>2.75</v>
      </c>
      <c r="O133" s="21">
        <v>2.7</v>
      </c>
      <c r="P133" s="21">
        <v>3</v>
      </c>
      <c r="Q133" s="21">
        <v>2.9</v>
      </c>
    </row>
    <row r="134" spans="1:17" x14ac:dyDescent="0.3">
      <c r="A134" s="1"/>
      <c r="B134" s="1" t="s">
        <v>9</v>
      </c>
      <c r="C134" s="3">
        <v>3</v>
      </c>
      <c r="D134" s="3">
        <v>3</v>
      </c>
      <c r="E134" s="3">
        <v>3</v>
      </c>
      <c r="F134" s="3">
        <v>3</v>
      </c>
      <c r="G134" s="3">
        <v>2.75</v>
      </c>
      <c r="H134" s="3">
        <v>3.25</v>
      </c>
      <c r="K134" s="20" t="s">
        <v>8</v>
      </c>
      <c r="L134" s="21">
        <v>1.1000000000000001</v>
      </c>
      <c r="M134" s="21">
        <v>2.75</v>
      </c>
      <c r="N134" s="21">
        <v>2.75</v>
      </c>
      <c r="O134" s="21">
        <v>2.7</v>
      </c>
      <c r="P134" s="21">
        <v>3</v>
      </c>
      <c r="Q134" s="21">
        <v>2.9</v>
      </c>
    </row>
    <row r="135" spans="1:17" x14ac:dyDescent="0.3">
      <c r="A135" s="1"/>
      <c r="B135" s="1"/>
      <c r="C135" s="3"/>
      <c r="D135" s="3"/>
      <c r="E135" s="3"/>
      <c r="F135" s="3"/>
      <c r="G135" s="3"/>
      <c r="H135" s="3"/>
      <c r="K135" s="20" t="s">
        <v>9</v>
      </c>
      <c r="L135" s="21">
        <v>1.1000000000000001</v>
      </c>
      <c r="M135" s="21">
        <v>2.75</v>
      </c>
      <c r="N135" s="21">
        <v>2.75</v>
      </c>
      <c r="O135" s="21">
        <v>2.7</v>
      </c>
      <c r="P135" s="21">
        <v>3</v>
      </c>
      <c r="Q135" s="21">
        <v>2.9</v>
      </c>
    </row>
    <row r="136" spans="1:17" x14ac:dyDescent="0.3">
      <c r="A136" s="1" t="s">
        <v>4</v>
      </c>
      <c r="B136" s="1" t="s">
        <v>6</v>
      </c>
      <c r="C136" s="3">
        <v>2.8</v>
      </c>
      <c r="D136" s="3">
        <v>2.75</v>
      </c>
      <c r="E136" s="3">
        <v>3.5</v>
      </c>
      <c r="F136" s="3">
        <v>3.5</v>
      </c>
      <c r="G136" s="3">
        <v>5.75</v>
      </c>
      <c r="H136" s="3">
        <v>4</v>
      </c>
      <c r="K136" s="20" t="s">
        <v>4</v>
      </c>
      <c r="L136" s="21"/>
      <c r="M136" s="21"/>
      <c r="N136" s="21"/>
      <c r="O136" s="21"/>
      <c r="P136" s="21"/>
      <c r="Q136" s="21"/>
    </row>
    <row r="137" spans="1:17" x14ac:dyDescent="0.3">
      <c r="A137" s="1"/>
      <c r="B137" s="1" t="s">
        <v>8</v>
      </c>
      <c r="C137" s="3">
        <v>4</v>
      </c>
      <c r="D137" s="3">
        <v>4</v>
      </c>
      <c r="E137" s="3">
        <v>3.75</v>
      </c>
      <c r="F137" s="3">
        <v>3.75</v>
      </c>
      <c r="G137" s="3">
        <v>3.75</v>
      </c>
      <c r="H137" s="3">
        <v>3.5</v>
      </c>
      <c r="K137" s="20" t="s">
        <v>6</v>
      </c>
      <c r="L137" s="21">
        <v>2.8</v>
      </c>
      <c r="M137" s="21">
        <v>2.75</v>
      </c>
      <c r="N137" s="21">
        <v>3.5</v>
      </c>
      <c r="O137" s="21">
        <v>3.5</v>
      </c>
      <c r="P137" s="21">
        <v>5.75</v>
      </c>
      <c r="Q137" s="21">
        <v>4</v>
      </c>
    </row>
    <row r="138" spans="1:17" x14ac:dyDescent="0.3">
      <c r="A138" s="1"/>
      <c r="B138" s="1" t="s">
        <v>9</v>
      </c>
      <c r="C138" s="3">
        <v>4</v>
      </c>
      <c r="D138" s="3">
        <v>4</v>
      </c>
      <c r="E138" s="3">
        <v>4</v>
      </c>
      <c r="F138" s="3">
        <v>4</v>
      </c>
      <c r="G138" s="3">
        <v>4</v>
      </c>
      <c r="H138" s="3">
        <v>3.8</v>
      </c>
      <c r="K138" s="20" t="s">
        <v>8</v>
      </c>
      <c r="L138" s="21">
        <v>2.8</v>
      </c>
      <c r="M138" s="21">
        <v>2.75</v>
      </c>
      <c r="N138" s="21">
        <v>3.5</v>
      </c>
      <c r="O138" s="21">
        <v>3.5</v>
      </c>
      <c r="P138" s="21">
        <v>5.75</v>
      </c>
      <c r="Q138" s="21">
        <v>4</v>
      </c>
    </row>
    <row r="139" spans="1:17" x14ac:dyDescent="0.3">
      <c r="K139" s="20" t="s">
        <v>9</v>
      </c>
      <c r="L139" s="21">
        <v>2.8</v>
      </c>
      <c r="M139" s="21">
        <v>2.75</v>
      </c>
      <c r="N139" s="21">
        <v>3.5</v>
      </c>
      <c r="O139" s="21">
        <v>3.5</v>
      </c>
      <c r="P139" s="21">
        <v>5.75</v>
      </c>
      <c r="Q139" s="21">
        <v>4</v>
      </c>
    </row>
    <row r="140" spans="1:17" x14ac:dyDescent="0.3">
      <c r="K140" s="28"/>
      <c r="L140" s="29"/>
      <c r="M140" s="29"/>
      <c r="N140" s="29"/>
      <c r="O140" s="29"/>
      <c r="P140" s="29"/>
      <c r="Q140" s="29"/>
    </row>
    <row r="141" spans="1:17" x14ac:dyDescent="0.3">
      <c r="K141" s="28"/>
      <c r="L141" s="29"/>
      <c r="M141" s="29"/>
      <c r="N141" s="29"/>
      <c r="O141" s="29"/>
      <c r="P141" s="29"/>
      <c r="Q141" s="29"/>
    </row>
    <row r="142" spans="1:17" ht="40.200000000000003" x14ac:dyDescent="0.3">
      <c r="F142" s="45" t="s">
        <v>634</v>
      </c>
      <c r="G142" s="47" t="s">
        <v>428</v>
      </c>
      <c r="H142" s="30"/>
      <c r="I142" s="30"/>
      <c r="J142" s="30"/>
      <c r="K142" s="48"/>
      <c r="L142" s="29"/>
      <c r="M142" s="29"/>
      <c r="N142" s="29"/>
      <c r="O142" s="29"/>
      <c r="P142" s="29"/>
      <c r="Q142" s="29"/>
    </row>
    <row r="143" spans="1:17" x14ac:dyDescent="0.3">
      <c r="E143" s="20" t="s">
        <v>427</v>
      </c>
      <c r="F143" s="20" t="s">
        <v>7</v>
      </c>
      <c r="G143" s="20" t="s">
        <v>11</v>
      </c>
      <c r="H143" s="20" t="s">
        <v>13</v>
      </c>
      <c r="I143" s="20" t="s">
        <v>15</v>
      </c>
      <c r="J143" s="20" t="s">
        <v>16</v>
      </c>
      <c r="K143" s="20" t="s">
        <v>18</v>
      </c>
      <c r="L143" s="29"/>
      <c r="M143" s="29"/>
      <c r="N143" s="29"/>
      <c r="O143" s="29"/>
      <c r="P143" s="29"/>
      <c r="Q143" s="29"/>
    </row>
    <row r="144" spans="1:17" x14ac:dyDescent="0.3">
      <c r="E144" s="20" t="s">
        <v>1</v>
      </c>
      <c r="F144" s="21"/>
      <c r="G144" s="21"/>
      <c r="H144" s="21"/>
      <c r="I144" s="21"/>
      <c r="J144" s="21"/>
      <c r="K144" s="21"/>
      <c r="L144" s="29"/>
      <c r="M144" s="29"/>
      <c r="N144" s="29"/>
      <c r="O144" s="29"/>
      <c r="P144" s="29"/>
      <c r="Q144" s="29"/>
    </row>
    <row r="145" spans="5:17" x14ac:dyDescent="0.3">
      <c r="E145" s="20" t="s">
        <v>6</v>
      </c>
      <c r="F145" s="21">
        <f>C124+(L125*10)</f>
        <v>25.3</v>
      </c>
      <c r="G145" s="21">
        <f t="shared" ref="G145:K147" si="14">D124+(M125*10)</f>
        <v>33</v>
      </c>
      <c r="H145" s="21">
        <f t="shared" si="14"/>
        <v>46.2</v>
      </c>
      <c r="I145" s="21">
        <f t="shared" si="14"/>
        <v>33</v>
      </c>
      <c r="J145" s="21">
        <f t="shared" si="14"/>
        <v>13.75</v>
      </c>
      <c r="K145" s="21">
        <f t="shared" si="14"/>
        <v>49.5</v>
      </c>
      <c r="L145" s="29"/>
      <c r="M145" s="29"/>
      <c r="N145" s="29"/>
      <c r="O145" s="29"/>
      <c r="P145" s="29"/>
      <c r="Q145" s="29"/>
    </row>
    <row r="146" spans="5:17" x14ac:dyDescent="0.3">
      <c r="E146" s="20" t="s">
        <v>8</v>
      </c>
      <c r="F146" s="21">
        <f>C125+(L126*10)</f>
        <v>25.2</v>
      </c>
      <c r="G146" s="21">
        <f t="shared" si="14"/>
        <v>33</v>
      </c>
      <c r="H146" s="21">
        <f t="shared" si="14"/>
        <v>44.5</v>
      </c>
      <c r="I146" s="21">
        <f t="shared" si="14"/>
        <v>32.799999999999997</v>
      </c>
      <c r="J146" s="21">
        <f t="shared" si="14"/>
        <v>15.5</v>
      </c>
      <c r="K146" s="21">
        <f t="shared" si="14"/>
        <v>47.7</v>
      </c>
      <c r="L146" s="29"/>
      <c r="M146" s="29"/>
      <c r="N146" s="29"/>
      <c r="O146" s="29"/>
      <c r="P146" s="29"/>
      <c r="Q146" s="29"/>
    </row>
    <row r="147" spans="5:17" x14ac:dyDescent="0.3">
      <c r="E147" s="20" t="s">
        <v>9</v>
      </c>
      <c r="F147" s="21">
        <f>C126+(L127*10)</f>
        <v>27</v>
      </c>
      <c r="G147" s="21">
        <f t="shared" si="14"/>
        <v>33.200000000000003</v>
      </c>
      <c r="H147" s="21">
        <f t="shared" si="14"/>
        <v>47</v>
      </c>
      <c r="I147" s="21">
        <f t="shared" si="14"/>
        <v>33.200000000000003</v>
      </c>
      <c r="J147" s="21">
        <f t="shared" si="14"/>
        <v>16.5</v>
      </c>
      <c r="K147" s="21">
        <f t="shared" si="14"/>
        <v>49.4</v>
      </c>
      <c r="L147" s="29"/>
      <c r="M147" s="29"/>
      <c r="N147" s="29"/>
      <c r="O147" s="29"/>
      <c r="P147" s="29"/>
      <c r="Q147" s="29"/>
    </row>
    <row r="148" spans="5:17" x14ac:dyDescent="0.3">
      <c r="E148" s="20" t="s">
        <v>2</v>
      </c>
      <c r="F148" s="21"/>
      <c r="G148" s="21"/>
      <c r="H148" s="21"/>
      <c r="I148" s="21"/>
      <c r="J148" s="21"/>
      <c r="K148" s="21"/>
      <c r="L148" s="29"/>
      <c r="M148" s="29"/>
      <c r="N148" s="29"/>
      <c r="O148" s="29"/>
      <c r="P148" s="29"/>
      <c r="Q148" s="29"/>
    </row>
    <row r="149" spans="5:17" x14ac:dyDescent="0.3">
      <c r="E149" s="20" t="s">
        <v>6</v>
      </c>
      <c r="F149" s="21">
        <f>C128+(10*L129)</f>
        <v>27.5</v>
      </c>
      <c r="G149" s="21">
        <f t="shared" ref="G149:K151" si="15">D128+(10*M129)</f>
        <v>27.5</v>
      </c>
      <c r="H149" s="21">
        <f t="shared" si="15"/>
        <v>33</v>
      </c>
      <c r="I149" s="21">
        <f t="shared" si="15"/>
        <v>30.8</v>
      </c>
      <c r="J149" s="21">
        <f t="shared" si="15"/>
        <v>33</v>
      </c>
      <c r="K149" s="21">
        <f t="shared" si="15"/>
        <v>35.200000000000003</v>
      </c>
      <c r="L149" s="29"/>
      <c r="M149" s="29"/>
      <c r="N149" s="29"/>
      <c r="O149" s="29"/>
      <c r="P149" s="29"/>
      <c r="Q149" s="29"/>
    </row>
    <row r="150" spans="5:17" x14ac:dyDescent="0.3">
      <c r="E150" s="20" t="s">
        <v>8</v>
      </c>
      <c r="F150" s="21">
        <f>C129+(10*L130)</f>
        <v>28.2</v>
      </c>
      <c r="G150" s="21">
        <f t="shared" si="15"/>
        <v>28.5</v>
      </c>
      <c r="H150" s="21">
        <f t="shared" si="15"/>
        <v>33.200000000000003</v>
      </c>
      <c r="I150" s="21">
        <f t="shared" si="15"/>
        <v>31.2</v>
      </c>
      <c r="J150" s="21">
        <f t="shared" si="15"/>
        <v>34</v>
      </c>
      <c r="K150" s="21">
        <f t="shared" si="15"/>
        <v>36.9</v>
      </c>
      <c r="L150" s="29"/>
      <c r="M150" s="29"/>
      <c r="N150" s="29"/>
      <c r="O150" s="29"/>
      <c r="P150" s="29"/>
      <c r="Q150" s="29"/>
    </row>
    <row r="151" spans="5:17" x14ac:dyDescent="0.3">
      <c r="E151" s="20" t="s">
        <v>9</v>
      </c>
      <c r="F151" s="21">
        <f>C130+(10*L131)</f>
        <v>30</v>
      </c>
      <c r="G151" s="21">
        <f t="shared" si="15"/>
        <v>29</v>
      </c>
      <c r="H151" s="21">
        <f t="shared" si="15"/>
        <v>33.799999999999997</v>
      </c>
      <c r="I151" s="21">
        <f t="shared" si="15"/>
        <v>30.1</v>
      </c>
      <c r="J151" s="21">
        <f t="shared" si="15"/>
        <v>31.95</v>
      </c>
      <c r="K151" s="21">
        <f t="shared" si="15"/>
        <v>35.200000000000003</v>
      </c>
      <c r="L151" s="29"/>
      <c r="M151" s="29"/>
      <c r="N151" s="29"/>
      <c r="O151" s="29"/>
      <c r="P151" s="29"/>
      <c r="Q151" s="29"/>
    </row>
    <row r="152" spans="5:17" x14ac:dyDescent="0.3">
      <c r="E152" s="20" t="s">
        <v>3</v>
      </c>
      <c r="F152" s="21"/>
      <c r="G152" s="21"/>
      <c r="H152" s="21"/>
      <c r="I152" s="21"/>
      <c r="J152" s="21"/>
      <c r="K152" s="21"/>
      <c r="L152" s="29"/>
      <c r="M152" s="29"/>
      <c r="N152" s="29"/>
      <c r="O152" s="29"/>
      <c r="P152" s="29"/>
      <c r="Q152" s="29"/>
    </row>
    <row r="153" spans="5:17" x14ac:dyDescent="0.3">
      <c r="E153" s="20" t="s">
        <v>6</v>
      </c>
      <c r="F153" s="21">
        <f>C132+(10*L133)</f>
        <v>12.25</v>
      </c>
      <c r="G153" s="21">
        <f t="shared" ref="G153:K155" si="16">D132+(10*M133)</f>
        <v>30.25</v>
      </c>
      <c r="H153" s="21">
        <f t="shared" si="16"/>
        <v>30.25</v>
      </c>
      <c r="I153" s="21">
        <f t="shared" si="16"/>
        <v>30</v>
      </c>
      <c r="J153" s="21">
        <f t="shared" si="16"/>
        <v>33</v>
      </c>
      <c r="K153" s="21">
        <f t="shared" si="16"/>
        <v>31.9</v>
      </c>
      <c r="L153" s="29"/>
      <c r="M153" s="29"/>
      <c r="N153" s="29"/>
      <c r="O153" s="29"/>
      <c r="P153" s="29"/>
      <c r="Q153" s="29"/>
    </row>
    <row r="154" spans="5:17" x14ac:dyDescent="0.3">
      <c r="E154" s="20" t="s">
        <v>8</v>
      </c>
      <c r="F154" s="21">
        <f>C133+(10*L134)</f>
        <v>14</v>
      </c>
      <c r="G154" s="21">
        <f t="shared" si="16"/>
        <v>30.5</v>
      </c>
      <c r="H154" s="21">
        <f t="shared" si="16"/>
        <v>30.25</v>
      </c>
      <c r="I154" s="21">
        <f t="shared" si="16"/>
        <v>30</v>
      </c>
      <c r="J154" s="21">
        <f t="shared" si="16"/>
        <v>32.75</v>
      </c>
      <c r="K154" s="21">
        <f t="shared" si="16"/>
        <v>31.6</v>
      </c>
      <c r="L154" s="29"/>
      <c r="M154" s="29"/>
      <c r="N154" s="29"/>
      <c r="O154" s="29"/>
      <c r="P154" s="29"/>
      <c r="Q154" s="29"/>
    </row>
    <row r="155" spans="5:17" x14ac:dyDescent="0.3">
      <c r="E155" s="20" t="s">
        <v>9</v>
      </c>
      <c r="F155" s="21">
        <f>C134+(10*L135)</f>
        <v>14</v>
      </c>
      <c r="G155" s="21">
        <f t="shared" si="16"/>
        <v>30.5</v>
      </c>
      <c r="H155" s="21">
        <f t="shared" si="16"/>
        <v>30.5</v>
      </c>
      <c r="I155" s="21">
        <f t="shared" si="16"/>
        <v>30</v>
      </c>
      <c r="J155" s="21">
        <f t="shared" si="16"/>
        <v>32.75</v>
      </c>
      <c r="K155" s="21">
        <f t="shared" si="16"/>
        <v>32.25</v>
      </c>
      <c r="L155" s="29"/>
      <c r="M155" s="29"/>
      <c r="N155" s="29"/>
      <c r="O155" s="29"/>
      <c r="P155" s="29"/>
      <c r="Q155" s="29"/>
    </row>
    <row r="156" spans="5:17" x14ac:dyDescent="0.3">
      <c r="E156" s="20" t="s">
        <v>4</v>
      </c>
      <c r="F156" s="21"/>
      <c r="G156" s="21"/>
      <c r="H156" s="21"/>
      <c r="I156" s="21"/>
      <c r="J156" s="21"/>
      <c r="K156" s="21"/>
      <c r="L156" s="29"/>
      <c r="M156" s="29"/>
      <c r="N156" s="29"/>
      <c r="O156" s="29"/>
      <c r="P156" s="29"/>
      <c r="Q156" s="29"/>
    </row>
    <row r="157" spans="5:17" x14ac:dyDescent="0.3">
      <c r="E157" s="20" t="s">
        <v>6</v>
      </c>
      <c r="F157" s="21">
        <f>C136+(10*L137)</f>
        <v>30.8</v>
      </c>
      <c r="G157" s="21">
        <f t="shared" ref="G157:K159" si="17">D136+(10*M137)</f>
        <v>30.25</v>
      </c>
      <c r="H157" s="21">
        <f t="shared" si="17"/>
        <v>38.5</v>
      </c>
      <c r="I157" s="21">
        <f t="shared" si="17"/>
        <v>38.5</v>
      </c>
      <c r="J157" s="21">
        <f t="shared" si="17"/>
        <v>63.25</v>
      </c>
      <c r="K157" s="21">
        <f t="shared" si="17"/>
        <v>44</v>
      </c>
      <c r="L157" s="29"/>
      <c r="M157" s="29"/>
      <c r="N157" s="29"/>
      <c r="O157" s="29"/>
      <c r="P157" s="29"/>
      <c r="Q157" s="29"/>
    </row>
    <row r="158" spans="5:17" x14ac:dyDescent="0.3">
      <c r="E158" s="20" t="s">
        <v>8</v>
      </c>
      <c r="F158" s="21">
        <f>C137+(10*L138)</f>
        <v>32</v>
      </c>
      <c r="G158" s="21">
        <f t="shared" si="17"/>
        <v>31.5</v>
      </c>
      <c r="H158" s="21">
        <f t="shared" si="17"/>
        <v>38.75</v>
      </c>
      <c r="I158" s="21">
        <f t="shared" si="17"/>
        <v>38.75</v>
      </c>
      <c r="J158" s="21">
        <f t="shared" si="17"/>
        <v>61.25</v>
      </c>
      <c r="K158" s="21">
        <f t="shared" si="17"/>
        <v>43.5</v>
      </c>
      <c r="L158" s="29"/>
      <c r="M158" s="29"/>
      <c r="N158" s="29"/>
      <c r="O158" s="29"/>
      <c r="P158" s="29"/>
      <c r="Q158" s="29"/>
    </row>
    <row r="159" spans="5:17" x14ac:dyDescent="0.3">
      <c r="E159" s="20" t="s">
        <v>9</v>
      </c>
      <c r="F159" s="21">
        <f>C138+(10*L139)</f>
        <v>32</v>
      </c>
      <c r="G159" s="21">
        <f t="shared" si="17"/>
        <v>31.5</v>
      </c>
      <c r="H159" s="21">
        <f t="shared" si="17"/>
        <v>39</v>
      </c>
      <c r="I159" s="21">
        <f t="shared" si="17"/>
        <v>39</v>
      </c>
      <c r="J159" s="21">
        <f t="shared" si="17"/>
        <v>61.5</v>
      </c>
      <c r="K159" s="21">
        <f t="shared" si="17"/>
        <v>43.8</v>
      </c>
      <c r="L159" s="29"/>
      <c r="M159" s="29"/>
      <c r="N159" s="29"/>
      <c r="O159" s="29"/>
      <c r="P159" s="29"/>
      <c r="Q159" s="29"/>
    </row>
    <row r="160" spans="5:17" x14ac:dyDescent="0.3">
      <c r="K160" s="28"/>
      <c r="L160" s="29"/>
      <c r="M160" s="29"/>
      <c r="N160" s="29"/>
      <c r="O160" s="29"/>
      <c r="P160" s="29"/>
      <c r="Q160" s="29"/>
    </row>
    <row r="162" spans="5:13" x14ac:dyDescent="0.3">
      <c r="E162" t="s">
        <v>44</v>
      </c>
    </row>
    <row r="165" spans="5:13" x14ac:dyDescent="0.3">
      <c r="F165" s="32" t="s">
        <v>46</v>
      </c>
      <c r="G165" s="32" t="s">
        <v>47</v>
      </c>
      <c r="H165" s="32" t="s">
        <v>48</v>
      </c>
      <c r="I165" s="32"/>
      <c r="J165" s="32"/>
      <c r="K165" s="32" t="s">
        <v>45</v>
      </c>
    </row>
    <row r="166" spans="5:13" x14ac:dyDescent="0.3">
      <c r="F166">
        <f>SUM(C48,C51,C54,C57)</f>
        <v>10000</v>
      </c>
      <c r="G166">
        <f>SUM(C105,C108,C111,C114)</f>
        <v>0</v>
      </c>
      <c r="H166">
        <f>SUM(F166,G166)</f>
        <v>10000</v>
      </c>
      <c r="J166" t="s">
        <v>49</v>
      </c>
      <c r="K166" s="1">
        <v>10000</v>
      </c>
      <c r="M166" t="s">
        <v>50</v>
      </c>
    </row>
    <row r="167" spans="5:13" x14ac:dyDescent="0.3">
      <c r="F167">
        <f>SUM(C49,C52,C55,C58)</f>
        <v>7500</v>
      </c>
      <c r="G167">
        <f>SUM(C106,C109,C112,C115)</f>
        <v>0</v>
      </c>
      <c r="H167">
        <f t="shared" ref="H167:H183" si="18">SUM(F167,G167)</f>
        <v>7500</v>
      </c>
      <c r="J167" t="s">
        <v>49</v>
      </c>
      <c r="K167" s="1">
        <v>7500</v>
      </c>
      <c r="M167" t="s">
        <v>51</v>
      </c>
    </row>
    <row r="168" spans="5:13" x14ac:dyDescent="0.3">
      <c r="F168">
        <f>SUM(C50,C53,C56,C59)</f>
        <v>10000</v>
      </c>
      <c r="G168">
        <f>SUM(C107,C110,C113,C116)</f>
        <v>0</v>
      </c>
      <c r="H168">
        <f t="shared" si="18"/>
        <v>10000</v>
      </c>
      <c r="J168" t="s">
        <v>49</v>
      </c>
      <c r="K168" s="1">
        <v>10000</v>
      </c>
      <c r="M168" t="s">
        <v>52</v>
      </c>
    </row>
    <row r="169" spans="5:13" x14ac:dyDescent="0.3">
      <c r="F169">
        <f>SUM(D48,D51,D54,D57)</f>
        <v>27500</v>
      </c>
      <c r="G169">
        <f>SUM(D105,D108,D111,D114)</f>
        <v>0</v>
      </c>
      <c r="H169">
        <f t="shared" si="18"/>
        <v>27500</v>
      </c>
      <c r="J169" t="s">
        <v>49</v>
      </c>
      <c r="K169" s="1">
        <v>27500</v>
      </c>
      <c r="M169" t="s">
        <v>53</v>
      </c>
    </row>
    <row r="170" spans="5:13" x14ac:dyDescent="0.3">
      <c r="F170">
        <f>SUM(D49,D52,D55,D58)</f>
        <v>12500</v>
      </c>
      <c r="G170">
        <f>SUM(D106,D109,D112,D115)</f>
        <v>0</v>
      </c>
      <c r="H170">
        <f t="shared" si="18"/>
        <v>12500</v>
      </c>
      <c r="J170" t="s">
        <v>49</v>
      </c>
      <c r="K170" s="1">
        <v>12500</v>
      </c>
      <c r="M170" t="s">
        <v>54</v>
      </c>
    </row>
    <row r="171" spans="5:13" x14ac:dyDescent="0.3">
      <c r="F171">
        <f>SUM(D50,D53,D56,D59)</f>
        <v>22500</v>
      </c>
      <c r="G171">
        <f>SUM(D107,D110,D113,D116)</f>
        <v>0</v>
      </c>
      <c r="H171">
        <f t="shared" si="18"/>
        <v>22500</v>
      </c>
      <c r="J171" t="s">
        <v>49</v>
      </c>
      <c r="K171" s="1">
        <v>22500</v>
      </c>
      <c r="M171" t="s">
        <v>55</v>
      </c>
    </row>
    <row r="172" spans="5:13" x14ac:dyDescent="0.3">
      <c r="F172">
        <f>SUM(E48,E51,E54,E57)</f>
        <v>25000</v>
      </c>
      <c r="G172">
        <f>SUM(E105,E108,E111,E114)</f>
        <v>0</v>
      </c>
      <c r="H172">
        <f t="shared" si="18"/>
        <v>25000</v>
      </c>
      <c r="J172" t="s">
        <v>49</v>
      </c>
      <c r="K172" s="1">
        <v>25000</v>
      </c>
      <c r="M172" t="s">
        <v>56</v>
      </c>
    </row>
    <row r="173" spans="5:13" x14ac:dyDescent="0.3">
      <c r="F173">
        <f>SUM(E49,E52,E55,E58)</f>
        <v>25000</v>
      </c>
      <c r="G173">
        <f>SUM(E106,E109,E112,E115)</f>
        <v>0</v>
      </c>
      <c r="H173">
        <f t="shared" si="18"/>
        <v>25000</v>
      </c>
      <c r="J173" t="s">
        <v>49</v>
      </c>
      <c r="K173" s="1">
        <v>25000</v>
      </c>
      <c r="M173" t="s">
        <v>57</v>
      </c>
    </row>
    <row r="174" spans="5:13" x14ac:dyDescent="0.3">
      <c r="F174">
        <f>SUM(E107,E110,E113,E116)</f>
        <v>12500</v>
      </c>
      <c r="G174">
        <f>SUM(E107,E110,E113,E116)</f>
        <v>12500</v>
      </c>
      <c r="H174">
        <f t="shared" si="18"/>
        <v>25000</v>
      </c>
      <c r="J174" t="s">
        <v>49</v>
      </c>
      <c r="K174" s="1">
        <v>25000</v>
      </c>
      <c r="M174" t="s">
        <v>58</v>
      </c>
    </row>
    <row r="175" spans="5:13" x14ac:dyDescent="0.3">
      <c r="F175">
        <f>SUM(F48,F51,F54,F57)</f>
        <v>32500</v>
      </c>
      <c r="G175">
        <f>SUM(F105,F108,F111,F114)</f>
        <v>0</v>
      </c>
      <c r="H175">
        <f t="shared" si="18"/>
        <v>32500</v>
      </c>
      <c r="J175" t="s">
        <v>49</v>
      </c>
      <c r="K175" s="1">
        <v>32500</v>
      </c>
      <c r="M175" t="s">
        <v>59</v>
      </c>
    </row>
    <row r="176" spans="5:13" x14ac:dyDescent="0.3">
      <c r="F176">
        <f>SUM(F49,F52,F55,F58)</f>
        <v>32500</v>
      </c>
      <c r="G176">
        <f>SUM(F106,F109,F112,F115)</f>
        <v>0</v>
      </c>
      <c r="H176">
        <f t="shared" si="18"/>
        <v>32500</v>
      </c>
      <c r="J176" t="s">
        <v>49</v>
      </c>
      <c r="K176" s="1">
        <v>32500</v>
      </c>
      <c r="M176" t="s">
        <v>60</v>
      </c>
    </row>
    <row r="177" spans="5:13" x14ac:dyDescent="0.3">
      <c r="F177">
        <f>SUM(F50,F53,F56,F59)</f>
        <v>35000</v>
      </c>
      <c r="G177">
        <f>SUM(F107,F110,F113,F116)</f>
        <v>0</v>
      </c>
      <c r="H177">
        <f t="shared" si="18"/>
        <v>35000</v>
      </c>
      <c r="J177" t="s">
        <v>49</v>
      </c>
      <c r="K177" s="1">
        <v>35000</v>
      </c>
      <c r="M177" t="s">
        <v>61</v>
      </c>
    </row>
    <row r="178" spans="5:13" x14ac:dyDescent="0.3">
      <c r="F178">
        <f>SUM(G48,G51,G54,G57)</f>
        <v>27500</v>
      </c>
      <c r="G178">
        <f>SUM(G105,G108,G111,G114)</f>
        <v>0</v>
      </c>
      <c r="H178">
        <f t="shared" si="18"/>
        <v>27500</v>
      </c>
      <c r="J178" t="s">
        <v>49</v>
      </c>
      <c r="K178" s="1">
        <v>27500</v>
      </c>
      <c r="M178" t="s">
        <v>62</v>
      </c>
    </row>
    <row r="179" spans="5:13" x14ac:dyDescent="0.3">
      <c r="F179">
        <f>SUM(G49,G52,G55,G58)</f>
        <v>27500</v>
      </c>
      <c r="G179">
        <f>SUM(G106,G109,G112,G115)</f>
        <v>0</v>
      </c>
      <c r="H179">
        <f t="shared" si="18"/>
        <v>27500</v>
      </c>
      <c r="J179" t="s">
        <v>49</v>
      </c>
      <c r="K179" s="1">
        <v>27500</v>
      </c>
      <c r="M179" t="s">
        <v>63</v>
      </c>
    </row>
    <row r="180" spans="5:13" x14ac:dyDescent="0.3">
      <c r="F180">
        <f>SUM(G50,G53,G56,G59)</f>
        <v>30000</v>
      </c>
      <c r="G180">
        <f>SUM(G107,G110,G113,G116)</f>
        <v>0</v>
      </c>
      <c r="H180">
        <f t="shared" si="18"/>
        <v>30000</v>
      </c>
      <c r="J180" t="s">
        <v>49</v>
      </c>
      <c r="K180" s="1">
        <v>30000</v>
      </c>
      <c r="M180" t="s">
        <v>64</v>
      </c>
    </row>
    <row r="181" spans="5:13" x14ac:dyDescent="0.3">
      <c r="F181">
        <f>SUM(H48,H51,H57,H54)</f>
        <v>30000</v>
      </c>
      <c r="G181">
        <f>SUM(H105,H108,H111,H114)</f>
        <v>0</v>
      </c>
      <c r="H181">
        <f t="shared" si="18"/>
        <v>30000</v>
      </c>
      <c r="J181" t="s">
        <v>49</v>
      </c>
      <c r="K181" s="1">
        <v>30000</v>
      </c>
      <c r="M181" t="s">
        <v>65</v>
      </c>
    </row>
    <row r="182" spans="5:13" x14ac:dyDescent="0.3">
      <c r="F182">
        <f>SUM(H49,H52,H55,H58)</f>
        <v>32500</v>
      </c>
      <c r="G182">
        <f>SUM(H106,H109,H112,H115)</f>
        <v>0</v>
      </c>
      <c r="H182">
        <f t="shared" si="18"/>
        <v>32500</v>
      </c>
      <c r="J182" t="s">
        <v>49</v>
      </c>
      <c r="K182" s="1">
        <v>32500</v>
      </c>
      <c r="M182" t="s">
        <v>66</v>
      </c>
    </row>
    <row r="183" spans="5:13" x14ac:dyDescent="0.3">
      <c r="F183">
        <f>SUM(H50,H53,H56,H59)</f>
        <v>55000</v>
      </c>
      <c r="G183">
        <f>SUM(H107,H110,H113,H116)</f>
        <v>0</v>
      </c>
      <c r="H183">
        <f t="shared" si="18"/>
        <v>55000</v>
      </c>
      <c r="J183" t="s">
        <v>49</v>
      </c>
      <c r="K183" s="1">
        <v>55000</v>
      </c>
      <c r="M183" t="s">
        <v>67</v>
      </c>
    </row>
    <row r="187" spans="5:13" x14ac:dyDescent="0.3">
      <c r="E187" s="30" t="s">
        <v>43</v>
      </c>
      <c r="F187" s="41">
        <f>SUM(H120,H63,F42)</f>
        <v>5540000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BC4B-A08E-4207-AFB3-F784B8A2E1A6}">
  <dimension ref="A1:G270"/>
  <sheetViews>
    <sheetView showGridLines="0" workbookViewId="0">
      <selection activeCell="N42" sqref="N42"/>
    </sheetView>
  </sheetViews>
  <sheetFormatPr defaultRowHeight="14.4" x14ac:dyDescent="0.3"/>
  <cols>
    <col min="1" max="1" width="2.33203125" customWidth="1"/>
    <col min="2" max="2" width="7.6640625" bestFit="1" customWidth="1"/>
    <col min="3" max="3" width="39.109375" bestFit="1" customWidth="1"/>
    <col min="4" max="4" width="12.6640625" bestFit="1" customWidth="1"/>
    <col min="5" max="5" width="16.109375" bestFit="1" customWidth="1"/>
    <col min="6" max="6" width="10.44140625" bestFit="1" customWidth="1"/>
    <col min="7" max="7" width="6" bestFit="1" customWidth="1"/>
  </cols>
  <sheetData>
    <row r="1" spans="1:5" x14ac:dyDescent="0.3">
      <c r="A1" s="19" t="s">
        <v>68</v>
      </c>
    </row>
    <row r="2" spans="1:5" x14ac:dyDescent="0.3">
      <c r="A2" s="19" t="s">
        <v>594</v>
      </c>
    </row>
    <row r="3" spans="1:5" x14ac:dyDescent="0.3">
      <c r="A3" s="19" t="s">
        <v>595</v>
      </c>
    </row>
    <row r="4" spans="1:5" x14ac:dyDescent="0.3">
      <c r="A4" s="19" t="s">
        <v>69</v>
      </c>
    </row>
    <row r="5" spans="1:5" x14ac:dyDescent="0.3">
      <c r="A5" s="19" t="s">
        <v>70</v>
      </c>
    </row>
    <row r="6" spans="1:5" x14ac:dyDescent="0.3">
      <c r="A6" s="19"/>
      <c r="B6" t="s">
        <v>71</v>
      </c>
    </row>
    <row r="7" spans="1:5" x14ac:dyDescent="0.3">
      <c r="A7" s="19"/>
      <c r="B7" t="s">
        <v>596</v>
      </c>
    </row>
    <row r="8" spans="1:5" x14ac:dyDescent="0.3">
      <c r="A8" s="19"/>
      <c r="B8" t="s">
        <v>590</v>
      </c>
    </row>
    <row r="9" spans="1:5" x14ac:dyDescent="0.3">
      <c r="A9" s="19" t="s">
        <v>73</v>
      </c>
    </row>
    <row r="10" spans="1:5" x14ac:dyDescent="0.3">
      <c r="B10" t="s">
        <v>435</v>
      </c>
    </row>
    <row r="11" spans="1:5" x14ac:dyDescent="0.3">
      <c r="B11" t="s">
        <v>75</v>
      </c>
    </row>
    <row r="14" spans="1:5" ht="15" thickBot="1" x14ac:dyDescent="0.35">
      <c r="A14" t="s">
        <v>76</v>
      </c>
    </row>
    <row r="15" spans="1:5" ht="15" thickBot="1" x14ac:dyDescent="0.35">
      <c r="B15" s="34" t="s">
        <v>77</v>
      </c>
      <c r="C15" s="34" t="s">
        <v>78</v>
      </c>
      <c r="D15" s="34" t="s">
        <v>79</v>
      </c>
      <c r="E15" s="34" t="s">
        <v>80</v>
      </c>
    </row>
    <row r="16" spans="1:5" ht="15" thickBot="1" x14ac:dyDescent="0.35">
      <c r="B16" s="33" t="s">
        <v>597</v>
      </c>
      <c r="C16" s="33" t="s">
        <v>598</v>
      </c>
      <c r="D16" s="36">
        <v>5540000</v>
      </c>
      <c r="E16" s="36">
        <v>5540000</v>
      </c>
    </row>
    <row r="19" spans="1:6" ht="15" thickBot="1" x14ac:dyDescent="0.35">
      <c r="A19" t="s">
        <v>83</v>
      </c>
    </row>
    <row r="20" spans="1:6" ht="15" thickBot="1" x14ac:dyDescent="0.35">
      <c r="B20" s="34" t="s">
        <v>77</v>
      </c>
      <c r="C20" s="34" t="s">
        <v>78</v>
      </c>
      <c r="D20" s="34" t="s">
        <v>79</v>
      </c>
      <c r="E20" s="34" t="s">
        <v>80</v>
      </c>
      <c r="F20" s="34" t="s">
        <v>84</v>
      </c>
    </row>
    <row r="21" spans="1:6" x14ac:dyDescent="0.3">
      <c r="B21" s="35" t="s">
        <v>85</v>
      </c>
      <c r="C21" s="35" t="s">
        <v>86</v>
      </c>
      <c r="D21" s="35">
        <v>0</v>
      </c>
      <c r="E21" s="35">
        <v>0</v>
      </c>
      <c r="F21" s="35" t="s">
        <v>87</v>
      </c>
    </row>
    <row r="22" spans="1:6" x14ac:dyDescent="0.3">
      <c r="B22" s="35" t="s">
        <v>88</v>
      </c>
      <c r="C22" s="35" t="s">
        <v>89</v>
      </c>
      <c r="D22" s="35">
        <v>0</v>
      </c>
      <c r="E22" s="35">
        <v>0</v>
      </c>
      <c r="F22" s="35" t="s">
        <v>87</v>
      </c>
    </row>
    <row r="23" spans="1:6" x14ac:dyDescent="0.3">
      <c r="B23" s="35" t="s">
        <v>90</v>
      </c>
      <c r="C23" s="35" t="s">
        <v>91</v>
      </c>
      <c r="D23" s="35">
        <v>0</v>
      </c>
      <c r="E23" s="35">
        <v>0</v>
      </c>
      <c r="F23" s="35" t="s">
        <v>87</v>
      </c>
    </row>
    <row r="24" spans="1:6" x14ac:dyDescent="0.3">
      <c r="B24" s="35" t="s">
        <v>92</v>
      </c>
      <c r="C24" s="35" t="s">
        <v>93</v>
      </c>
      <c r="D24" s="35">
        <v>0</v>
      </c>
      <c r="E24" s="35">
        <v>0</v>
      </c>
      <c r="F24" s="35" t="s">
        <v>87</v>
      </c>
    </row>
    <row r="25" spans="1:6" x14ac:dyDescent="0.3">
      <c r="B25" s="35" t="s">
        <v>94</v>
      </c>
      <c r="C25" s="35" t="s">
        <v>95</v>
      </c>
      <c r="D25" s="35">
        <v>0</v>
      </c>
      <c r="E25" s="35">
        <v>0</v>
      </c>
      <c r="F25" s="35" t="s">
        <v>87</v>
      </c>
    </row>
    <row r="26" spans="1:6" x14ac:dyDescent="0.3">
      <c r="B26" s="35" t="s">
        <v>96</v>
      </c>
      <c r="C26" s="35" t="s">
        <v>97</v>
      </c>
      <c r="D26" s="35">
        <v>0</v>
      </c>
      <c r="E26" s="35">
        <v>0</v>
      </c>
      <c r="F26" s="35" t="s">
        <v>87</v>
      </c>
    </row>
    <row r="27" spans="1:6" x14ac:dyDescent="0.3">
      <c r="B27" s="35" t="s">
        <v>98</v>
      </c>
      <c r="C27" s="35" t="s">
        <v>99</v>
      </c>
      <c r="D27" s="35">
        <v>0</v>
      </c>
      <c r="E27" s="35">
        <v>0</v>
      </c>
      <c r="F27" s="35" t="s">
        <v>87</v>
      </c>
    </row>
    <row r="28" spans="1:6" x14ac:dyDescent="0.3">
      <c r="B28" s="35" t="s">
        <v>100</v>
      </c>
      <c r="C28" s="35" t="s">
        <v>101</v>
      </c>
      <c r="D28" s="35">
        <v>0</v>
      </c>
      <c r="E28" s="35">
        <v>0</v>
      </c>
      <c r="F28" s="35" t="s">
        <v>87</v>
      </c>
    </row>
    <row r="29" spans="1:6" x14ac:dyDescent="0.3">
      <c r="B29" s="35" t="s">
        <v>102</v>
      </c>
      <c r="C29" s="35" t="s">
        <v>103</v>
      </c>
      <c r="D29" s="35">
        <v>0</v>
      </c>
      <c r="E29" s="35">
        <v>0</v>
      </c>
      <c r="F29" s="35" t="s">
        <v>87</v>
      </c>
    </row>
    <row r="30" spans="1:6" x14ac:dyDescent="0.3">
      <c r="B30" s="35" t="s">
        <v>104</v>
      </c>
      <c r="C30" s="35" t="s">
        <v>105</v>
      </c>
      <c r="D30" s="35">
        <v>0</v>
      </c>
      <c r="E30" s="35">
        <v>0</v>
      </c>
      <c r="F30" s="35" t="s">
        <v>87</v>
      </c>
    </row>
    <row r="31" spans="1:6" x14ac:dyDescent="0.3">
      <c r="B31" s="35" t="s">
        <v>106</v>
      </c>
      <c r="C31" s="35" t="s">
        <v>107</v>
      </c>
      <c r="D31" s="35">
        <v>0</v>
      </c>
      <c r="E31" s="35">
        <v>0</v>
      </c>
      <c r="F31" s="35" t="s">
        <v>87</v>
      </c>
    </row>
    <row r="32" spans="1:6" x14ac:dyDescent="0.3">
      <c r="B32" s="35" t="s">
        <v>108</v>
      </c>
      <c r="C32" s="35" t="s">
        <v>109</v>
      </c>
      <c r="D32" s="35">
        <v>0</v>
      </c>
      <c r="E32" s="35">
        <v>0</v>
      </c>
      <c r="F32" s="35" t="s">
        <v>87</v>
      </c>
    </row>
    <row r="33" spans="2:6" x14ac:dyDescent="0.3">
      <c r="B33" s="35" t="s">
        <v>110</v>
      </c>
      <c r="C33" s="35" t="s">
        <v>86</v>
      </c>
      <c r="D33" s="35">
        <v>0</v>
      </c>
      <c r="E33" s="35">
        <v>0</v>
      </c>
      <c r="F33" s="35" t="s">
        <v>87</v>
      </c>
    </row>
    <row r="34" spans="2:6" x14ac:dyDescent="0.3">
      <c r="B34" s="35" t="s">
        <v>111</v>
      </c>
      <c r="C34" s="35" t="s">
        <v>89</v>
      </c>
      <c r="D34" s="35">
        <v>0</v>
      </c>
      <c r="E34" s="35">
        <v>0</v>
      </c>
      <c r="F34" s="35" t="s">
        <v>87</v>
      </c>
    </row>
    <row r="35" spans="2:6" x14ac:dyDescent="0.3">
      <c r="B35" s="35" t="s">
        <v>112</v>
      </c>
      <c r="C35" s="35" t="s">
        <v>91</v>
      </c>
      <c r="D35" s="35">
        <v>0</v>
      </c>
      <c r="E35" s="35">
        <v>0</v>
      </c>
      <c r="F35" s="35" t="s">
        <v>87</v>
      </c>
    </row>
    <row r="36" spans="2:6" x14ac:dyDescent="0.3">
      <c r="B36" s="35" t="s">
        <v>113</v>
      </c>
      <c r="C36" s="35" t="s">
        <v>93</v>
      </c>
      <c r="D36" s="35">
        <v>0</v>
      </c>
      <c r="E36" s="35">
        <v>0</v>
      </c>
      <c r="F36" s="35" t="s">
        <v>87</v>
      </c>
    </row>
    <row r="37" spans="2:6" x14ac:dyDescent="0.3">
      <c r="B37" s="35" t="s">
        <v>114</v>
      </c>
      <c r="C37" s="35" t="s">
        <v>95</v>
      </c>
      <c r="D37" s="35">
        <v>0</v>
      </c>
      <c r="E37" s="35">
        <v>0</v>
      </c>
      <c r="F37" s="35" t="s">
        <v>87</v>
      </c>
    </row>
    <row r="38" spans="2:6" x14ac:dyDescent="0.3">
      <c r="B38" s="35" t="s">
        <v>115</v>
      </c>
      <c r="C38" s="35" t="s">
        <v>97</v>
      </c>
      <c r="D38" s="35">
        <v>0</v>
      </c>
      <c r="E38" s="35">
        <v>0</v>
      </c>
      <c r="F38" s="35" t="s">
        <v>87</v>
      </c>
    </row>
    <row r="39" spans="2:6" x14ac:dyDescent="0.3">
      <c r="B39" s="35" t="s">
        <v>116</v>
      </c>
      <c r="C39" s="35" t="s">
        <v>99</v>
      </c>
      <c r="D39" s="35">
        <v>0</v>
      </c>
      <c r="E39" s="35">
        <v>0</v>
      </c>
      <c r="F39" s="35" t="s">
        <v>87</v>
      </c>
    </row>
    <row r="40" spans="2:6" x14ac:dyDescent="0.3">
      <c r="B40" s="35" t="s">
        <v>117</v>
      </c>
      <c r="C40" s="35" t="s">
        <v>101</v>
      </c>
      <c r="D40" s="35">
        <v>0</v>
      </c>
      <c r="E40" s="35">
        <v>0</v>
      </c>
      <c r="F40" s="35" t="s">
        <v>87</v>
      </c>
    </row>
    <row r="41" spans="2:6" x14ac:dyDescent="0.3">
      <c r="B41" s="35" t="s">
        <v>118</v>
      </c>
      <c r="C41" s="35" t="s">
        <v>103</v>
      </c>
      <c r="D41" s="35">
        <v>0</v>
      </c>
      <c r="E41" s="35">
        <v>0</v>
      </c>
      <c r="F41" s="35" t="s">
        <v>87</v>
      </c>
    </row>
    <row r="42" spans="2:6" x14ac:dyDescent="0.3">
      <c r="B42" s="35" t="s">
        <v>119</v>
      </c>
      <c r="C42" s="35" t="s">
        <v>105</v>
      </c>
      <c r="D42" s="35">
        <v>0</v>
      </c>
      <c r="E42" s="35">
        <v>0</v>
      </c>
      <c r="F42" s="35" t="s">
        <v>87</v>
      </c>
    </row>
    <row r="43" spans="2:6" x14ac:dyDescent="0.3">
      <c r="B43" s="35" t="s">
        <v>120</v>
      </c>
      <c r="C43" s="35" t="s">
        <v>107</v>
      </c>
      <c r="D43" s="35">
        <v>0</v>
      </c>
      <c r="E43" s="35">
        <v>0</v>
      </c>
      <c r="F43" s="35" t="s">
        <v>87</v>
      </c>
    </row>
    <row r="44" spans="2:6" x14ac:dyDescent="0.3">
      <c r="B44" s="35" t="s">
        <v>121</v>
      </c>
      <c r="C44" s="35" t="s">
        <v>109</v>
      </c>
      <c r="D44" s="35">
        <v>0</v>
      </c>
      <c r="E44" s="35">
        <v>0</v>
      </c>
      <c r="F44" s="35" t="s">
        <v>87</v>
      </c>
    </row>
    <row r="45" spans="2:6" x14ac:dyDescent="0.3">
      <c r="B45" s="35" t="s">
        <v>122</v>
      </c>
      <c r="C45" s="35" t="s">
        <v>86</v>
      </c>
      <c r="D45" s="35">
        <v>0</v>
      </c>
      <c r="E45" s="35">
        <v>0</v>
      </c>
      <c r="F45" s="35" t="s">
        <v>87</v>
      </c>
    </row>
    <row r="46" spans="2:6" x14ac:dyDescent="0.3">
      <c r="B46" s="35" t="s">
        <v>123</v>
      </c>
      <c r="C46" s="35" t="s">
        <v>89</v>
      </c>
      <c r="D46" s="35">
        <v>0</v>
      </c>
      <c r="E46" s="35">
        <v>0</v>
      </c>
      <c r="F46" s="35" t="s">
        <v>87</v>
      </c>
    </row>
    <row r="47" spans="2:6" x14ac:dyDescent="0.3">
      <c r="B47" s="35" t="s">
        <v>124</v>
      </c>
      <c r="C47" s="35" t="s">
        <v>91</v>
      </c>
      <c r="D47" s="35">
        <v>0</v>
      </c>
      <c r="E47" s="35">
        <v>0</v>
      </c>
      <c r="F47" s="35" t="s">
        <v>87</v>
      </c>
    </row>
    <row r="48" spans="2:6" x14ac:dyDescent="0.3">
      <c r="B48" s="35" t="s">
        <v>125</v>
      </c>
      <c r="C48" s="35" t="s">
        <v>93</v>
      </c>
      <c r="D48" s="35">
        <v>0</v>
      </c>
      <c r="E48" s="35">
        <v>0</v>
      </c>
      <c r="F48" s="35" t="s">
        <v>87</v>
      </c>
    </row>
    <row r="49" spans="2:6" x14ac:dyDescent="0.3">
      <c r="B49" s="35" t="s">
        <v>126</v>
      </c>
      <c r="C49" s="35" t="s">
        <v>95</v>
      </c>
      <c r="D49" s="35">
        <v>0</v>
      </c>
      <c r="E49" s="35">
        <v>0</v>
      </c>
      <c r="F49" s="35" t="s">
        <v>87</v>
      </c>
    </row>
    <row r="50" spans="2:6" x14ac:dyDescent="0.3">
      <c r="B50" s="35" t="s">
        <v>127</v>
      </c>
      <c r="C50" s="35" t="s">
        <v>97</v>
      </c>
      <c r="D50" s="35">
        <v>0</v>
      </c>
      <c r="E50" s="35">
        <v>0</v>
      </c>
      <c r="F50" s="35" t="s">
        <v>87</v>
      </c>
    </row>
    <row r="51" spans="2:6" x14ac:dyDescent="0.3">
      <c r="B51" s="35" t="s">
        <v>128</v>
      </c>
      <c r="C51" s="35" t="s">
        <v>99</v>
      </c>
      <c r="D51" s="35">
        <v>0</v>
      </c>
      <c r="E51" s="35">
        <v>0</v>
      </c>
      <c r="F51" s="35" t="s">
        <v>87</v>
      </c>
    </row>
    <row r="52" spans="2:6" x14ac:dyDescent="0.3">
      <c r="B52" s="35" t="s">
        <v>129</v>
      </c>
      <c r="C52" s="35" t="s">
        <v>101</v>
      </c>
      <c r="D52" s="35">
        <v>0</v>
      </c>
      <c r="E52" s="35">
        <v>0</v>
      </c>
      <c r="F52" s="35" t="s">
        <v>87</v>
      </c>
    </row>
    <row r="53" spans="2:6" x14ac:dyDescent="0.3">
      <c r="B53" s="35" t="s">
        <v>130</v>
      </c>
      <c r="C53" s="35" t="s">
        <v>103</v>
      </c>
      <c r="D53" s="35">
        <v>0</v>
      </c>
      <c r="E53" s="35">
        <v>0</v>
      </c>
      <c r="F53" s="35" t="s">
        <v>87</v>
      </c>
    </row>
    <row r="54" spans="2:6" x14ac:dyDescent="0.3">
      <c r="B54" s="35" t="s">
        <v>131</v>
      </c>
      <c r="C54" s="35" t="s">
        <v>105</v>
      </c>
      <c r="D54" s="35">
        <v>0</v>
      </c>
      <c r="E54" s="35">
        <v>0</v>
      </c>
      <c r="F54" s="35" t="s">
        <v>87</v>
      </c>
    </row>
    <row r="55" spans="2:6" x14ac:dyDescent="0.3">
      <c r="B55" s="35" t="s">
        <v>132</v>
      </c>
      <c r="C55" s="35" t="s">
        <v>107</v>
      </c>
      <c r="D55" s="35">
        <v>12500</v>
      </c>
      <c r="E55" s="35">
        <v>12500</v>
      </c>
      <c r="F55" s="35" t="s">
        <v>87</v>
      </c>
    </row>
    <row r="56" spans="2:6" x14ac:dyDescent="0.3">
      <c r="B56" s="35" t="s">
        <v>133</v>
      </c>
      <c r="C56" s="35" t="s">
        <v>109</v>
      </c>
      <c r="D56" s="35">
        <v>0</v>
      </c>
      <c r="E56" s="35">
        <v>0</v>
      </c>
      <c r="F56" s="35" t="s">
        <v>87</v>
      </c>
    </row>
    <row r="57" spans="2:6" x14ac:dyDescent="0.3">
      <c r="B57" s="35" t="s">
        <v>134</v>
      </c>
      <c r="C57" s="35" t="s">
        <v>86</v>
      </c>
      <c r="D57" s="35">
        <v>0</v>
      </c>
      <c r="E57" s="35">
        <v>0</v>
      </c>
      <c r="F57" s="35" t="s">
        <v>87</v>
      </c>
    </row>
    <row r="58" spans="2:6" x14ac:dyDescent="0.3">
      <c r="B58" s="35" t="s">
        <v>135</v>
      </c>
      <c r="C58" s="35" t="s">
        <v>89</v>
      </c>
      <c r="D58" s="35">
        <v>0</v>
      </c>
      <c r="E58" s="35">
        <v>0</v>
      </c>
      <c r="F58" s="35" t="s">
        <v>87</v>
      </c>
    </row>
    <row r="59" spans="2:6" x14ac:dyDescent="0.3">
      <c r="B59" s="35" t="s">
        <v>136</v>
      </c>
      <c r="C59" s="35" t="s">
        <v>91</v>
      </c>
      <c r="D59" s="35">
        <v>0</v>
      </c>
      <c r="E59" s="35">
        <v>0</v>
      </c>
      <c r="F59" s="35" t="s">
        <v>87</v>
      </c>
    </row>
    <row r="60" spans="2:6" x14ac:dyDescent="0.3">
      <c r="B60" s="35" t="s">
        <v>137</v>
      </c>
      <c r="C60" s="35" t="s">
        <v>93</v>
      </c>
      <c r="D60" s="35">
        <v>0</v>
      </c>
      <c r="E60" s="35">
        <v>0</v>
      </c>
      <c r="F60" s="35" t="s">
        <v>87</v>
      </c>
    </row>
    <row r="61" spans="2:6" x14ac:dyDescent="0.3">
      <c r="B61" s="35" t="s">
        <v>138</v>
      </c>
      <c r="C61" s="35" t="s">
        <v>95</v>
      </c>
      <c r="D61" s="35">
        <v>0</v>
      </c>
      <c r="E61" s="35">
        <v>0</v>
      </c>
      <c r="F61" s="35" t="s">
        <v>87</v>
      </c>
    </row>
    <row r="62" spans="2:6" x14ac:dyDescent="0.3">
      <c r="B62" s="35" t="s">
        <v>139</v>
      </c>
      <c r="C62" s="35" t="s">
        <v>97</v>
      </c>
      <c r="D62" s="35">
        <v>0</v>
      </c>
      <c r="E62" s="35">
        <v>0</v>
      </c>
      <c r="F62" s="35" t="s">
        <v>87</v>
      </c>
    </row>
    <row r="63" spans="2:6" x14ac:dyDescent="0.3">
      <c r="B63" s="35" t="s">
        <v>140</v>
      </c>
      <c r="C63" s="35" t="s">
        <v>99</v>
      </c>
      <c r="D63" s="35">
        <v>0</v>
      </c>
      <c r="E63" s="35">
        <v>0</v>
      </c>
      <c r="F63" s="35" t="s">
        <v>87</v>
      </c>
    </row>
    <row r="64" spans="2:6" x14ac:dyDescent="0.3">
      <c r="B64" s="35" t="s">
        <v>141</v>
      </c>
      <c r="C64" s="35" t="s">
        <v>101</v>
      </c>
      <c r="D64" s="35">
        <v>0</v>
      </c>
      <c r="E64" s="35">
        <v>0</v>
      </c>
      <c r="F64" s="35" t="s">
        <v>87</v>
      </c>
    </row>
    <row r="65" spans="2:6" x14ac:dyDescent="0.3">
      <c r="B65" s="35" t="s">
        <v>142</v>
      </c>
      <c r="C65" s="35" t="s">
        <v>103</v>
      </c>
      <c r="D65" s="35">
        <v>0</v>
      </c>
      <c r="E65" s="35">
        <v>0</v>
      </c>
      <c r="F65" s="35" t="s">
        <v>87</v>
      </c>
    </row>
    <row r="66" spans="2:6" x14ac:dyDescent="0.3">
      <c r="B66" s="35" t="s">
        <v>143</v>
      </c>
      <c r="C66" s="35" t="s">
        <v>105</v>
      </c>
      <c r="D66" s="35">
        <v>0</v>
      </c>
      <c r="E66" s="35">
        <v>0</v>
      </c>
      <c r="F66" s="35" t="s">
        <v>87</v>
      </c>
    </row>
    <row r="67" spans="2:6" x14ac:dyDescent="0.3">
      <c r="B67" s="35" t="s">
        <v>144</v>
      </c>
      <c r="C67" s="35" t="s">
        <v>107</v>
      </c>
      <c r="D67" s="35">
        <v>0</v>
      </c>
      <c r="E67" s="35">
        <v>0</v>
      </c>
      <c r="F67" s="35" t="s">
        <v>87</v>
      </c>
    </row>
    <row r="68" spans="2:6" x14ac:dyDescent="0.3">
      <c r="B68" s="35" t="s">
        <v>145</v>
      </c>
      <c r="C68" s="35" t="s">
        <v>109</v>
      </c>
      <c r="D68" s="35">
        <v>0</v>
      </c>
      <c r="E68" s="35">
        <v>0</v>
      </c>
      <c r="F68" s="35" t="s">
        <v>87</v>
      </c>
    </row>
    <row r="69" spans="2:6" x14ac:dyDescent="0.3">
      <c r="B69" s="35" t="s">
        <v>158</v>
      </c>
      <c r="C69" s="35" t="s">
        <v>147</v>
      </c>
      <c r="D69" s="35">
        <v>10000</v>
      </c>
      <c r="E69" s="35">
        <v>10000</v>
      </c>
      <c r="F69" s="35" t="s">
        <v>87</v>
      </c>
    </row>
    <row r="70" spans="2:6" x14ac:dyDescent="0.3">
      <c r="B70" s="35" t="s">
        <v>160</v>
      </c>
      <c r="C70" s="35" t="s">
        <v>149</v>
      </c>
      <c r="D70" s="35">
        <v>27500</v>
      </c>
      <c r="E70" s="35">
        <v>27500</v>
      </c>
      <c r="F70" s="35" t="s">
        <v>87</v>
      </c>
    </row>
    <row r="71" spans="2:6" x14ac:dyDescent="0.3">
      <c r="B71" s="35" t="s">
        <v>162</v>
      </c>
      <c r="C71" s="35" t="s">
        <v>151</v>
      </c>
      <c r="D71" s="35">
        <v>0</v>
      </c>
      <c r="E71" s="35">
        <v>0</v>
      </c>
      <c r="F71" s="35" t="s">
        <v>87</v>
      </c>
    </row>
    <row r="72" spans="2:6" x14ac:dyDescent="0.3">
      <c r="B72" s="35" t="s">
        <v>164</v>
      </c>
      <c r="C72" s="35" t="s">
        <v>153</v>
      </c>
      <c r="D72" s="35">
        <v>2500</v>
      </c>
      <c r="E72" s="35">
        <v>2500</v>
      </c>
      <c r="F72" s="35" t="s">
        <v>87</v>
      </c>
    </row>
    <row r="73" spans="2:6" x14ac:dyDescent="0.3">
      <c r="B73" s="35" t="s">
        <v>166</v>
      </c>
      <c r="C73" s="35" t="s">
        <v>155</v>
      </c>
      <c r="D73" s="35">
        <v>0</v>
      </c>
      <c r="E73" s="35">
        <v>0</v>
      </c>
      <c r="F73" s="35" t="s">
        <v>87</v>
      </c>
    </row>
    <row r="74" spans="2:6" x14ac:dyDescent="0.3">
      <c r="B74" s="35" t="s">
        <v>168</v>
      </c>
      <c r="C74" s="35" t="s">
        <v>157</v>
      </c>
      <c r="D74" s="35">
        <v>10000</v>
      </c>
      <c r="E74" s="35">
        <v>10000</v>
      </c>
      <c r="F74" s="35" t="s">
        <v>87</v>
      </c>
    </row>
    <row r="75" spans="2:6" x14ac:dyDescent="0.3">
      <c r="B75" s="35" t="s">
        <v>170</v>
      </c>
      <c r="C75" s="35" t="s">
        <v>159</v>
      </c>
      <c r="D75" s="35">
        <v>0</v>
      </c>
      <c r="E75" s="35">
        <v>0</v>
      </c>
      <c r="F75" s="35" t="s">
        <v>87</v>
      </c>
    </row>
    <row r="76" spans="2:6" x14ac:dyDescent="0.3">
      <c r="B76" s="35" t="s">
        <v>172</v>
      </c>
      <c r="C76" s="35" t="s">
        <v>161</v>
      </c>
      <c r="D76" s="35">
        <v>12500</v>
      </c>
      <c r="E76" s="35">
        <v>12500</v>
      </c>
      <c r="F76" s="35" t="s">
        <v>87</v>
      </c>
    </row>
    <row r="77" spans="2:6" x14ac:dyDescent="0.3">
      <c r="B77" s="35" t="s">
        <v>174</v>
      </c>
      <c r="C77" s="35" t="s">
        <v>163</v>
      </c>
      <c r="D77" s="35">
        <v>0</v>
      </c>
      <c r="E77" s="35">
        <v>0</v>
      </c>
      <c r="F77" s="35" t="s">
        <v>87</v>
      </c>
    </row>
    <row r="78" spans="2:6" x14ac:dyDescent="0.3">
      <c r="B78" s="35" t="s">
        <v>176</v>
      </c>
      <c r="C78" s="35" t="s">
        <v>165</v>
      </c>
      <c r="D78" s="35">
        <v>2500</v>
      </c>
      <c r="E78" s="35">
        <v>2500</v>
      </c>
      <c r="F78" s="35" t="s">
        <v>87</v>
      </c>
    </row>
    <row r="79" spans="2:6" x14ac:dyDescent="0.3">
      <c r="B79" s="35" t="s">
        <v>178</v>
      </c>
      <c r="C79" s="35" t="s">
        <v>167</v>
      </c>
      <c r="D79" s="35">
        <v>0</v>
      </c>
      <c r="E79" s="35">
        <v>0</v>
      </c>
      <c r="F79" s="35" t="s">
        <v>87</v>
      </c>
    </row>
    <row r="80" spans="2:6" x14ac:dyDescent="0.3">
      <c r="B80" s="35" t="s">
        <v>180</v>
      </c>
      <c r="C80" s="35" t="s">
        <v>169</v>
      </c>
      <c r="D80" s="35">
        <v>32500</v>
      </c>
      <c r="E80" s="35">
        <v>32500</v>
      </c>
      <c r="F80" s="35" t="s">
        <v>87</v>
      </c>
    </row>
    <row r="81" spans="2:6" x14ac:dyDescent="0.3">
      <c r="B81" s="35" t="s">
        <v>182</v>
      </c>
      <c r="C81" s="35" t="s">
        <v>171</v>
      </c>
      <c r="D81" s="35">
        <v>10000</v>
      </c>
      <c r="E81" s="35">
        <v>10000</v>
      </c>
      <c r="F81" s="35" t="s">
        <v>87</v>
      </c>
    </row>
    <row r="82" spans="2:6" x14ac:dyDescent="0.3">
      <c r="B82" s="35" t="s">
        <v>183</v>
      </c>
      <c r="C82" s="35" t="s">
        <v>173</v>
      </c>
      <c r="D82" s="35">
        <v>22500</v>
      </c>
      <c r="E82" s="35">
        <v>22500</v>
      </c>
      <c r="F82" s="35" t="s">
        <v>87</v>
      </c>
    </row>
    <row r="83" spans="2:6" x14ac:dyDescent="0.3">
      <c r="B83" s="35" t="s">
        <v>184</v>
      </c>
      <c r="C83" s="35" t="s">
        <v>175</v>
      </c>
      <c r="D83" s="35">
        <v>0</v>
      </c>
      <c r="E83" s="35">
        <v>0</v>
      </c>
      <c r="F83" s="35" t="s">
        <v>87</v>
      </c>
    </row>
    <row r="84" spans="2:6" x14ac:dyDescent="0.3">
      <c r="B84" s="35" t="s">
        <v>185</v>
      </c>
      <c r="C84" s="35" t="s">
        <v>177</v>
      </c>
      <c r="D84" s="35">
        <v>15000</v>
      </c>
      <c r="E84" s="35">
        <v>15000</v>
      </c>
      <c r="F84" s="35" t="s">
        <v>87</v>
      </c>
    </row>
    <row r="85" spans="2:6" x14ac:dyDescent="0.3">
      <c r="B85" s="35" t="s">
        <v>186</v>
      </c>
      <c r="C85" s="35" t="s">
        <v>179</v>
      </c>
      <c r="D85" s="35">
        <v>0</v>
      </c>
      <c r="E85" s="35">
        <v>0</v>
      </c>
      <c r="F85" s="35" t="s">
        <v>87</v>
      </c>
    </row>
    <row r="86" spans="2:6" x14ac:dyDescent="0.3">
      <c r="B86" s="35" t="s">
        <v>187</v>
      </c>
      <c r="C86" s="35" t="s">
        <v>181</v>
      </c>
      <c r="D86" s="35">
        <v>0</v>
      </c>
      <c r="E86" s="35">
        <v>0</v>
      </c>
      <c r="F86" s="35" t="s">
        <v>87</v>
      </c>
    </row>
    <row r="87" spans="2:6" x14ac:dyDescent="0.3">
      <c r="B87" s="35" t="s">
        <v>188</v>
      </c>
      <c r="C87" s="35" t="s">
        <v>147</v>
      </c>
      <c r="D87" s="35">
        <v>0</v>
      </c>
      <c r="E87" s="35">
        <v>0</v>
      </c>
      <c r="F87" s="35" t="s">
        <v>87</v>
      </c>
    </row>
    <row r="88" spans="2:6" x14ac:dyDescent="0.3">
      <c r="B88" s="35" t="s">
        <v>189</v>
      </c>
      <c r="C88" s="35" t="s">
        <v>149</v>
      </c>
      <c r="D88" s="35">
        <v>0</v>
      </c>
      <c r="E88" s="35">
        <v>0</v>
      </c>
      <c r="F88" s="35" t="s">
        <v>87</v>
      </c>
    </row>
    <row r="89" spans="2:6" x14ac:dyDescent="0.3">
      <c r="B89" s="35" t="s">
        <v>190</v>
      </c>
      <c r="C89" s="35" t="s">
        <v>151</v>
      </c>
      <c r="D89" s="35">
        <v>0</v>
      </c>
      <c r="E89" s="35">
        <v>0</v>
      </c>
      <c r="F89" s="35" t="s">
        <v>87</v>
      </c>
    </row>
    <row r="90" spans="2:6" x14ac:dyDescent="0.3">
      <c r="B90" s="35" t="s">
        <v>191</v>
      </c>
      <c r="C90" s="35" t="s">
        <v>153</v>
      </c>
      <c r="D90" s="35">
        <v>10000</v>
      </c>
      <c r="E90" s="35">
        <v>10000</v>
      </c>
      <c r="F90" s="35" t="s">
        <v>87</v>
      </c>
    </row>
    <row r="91" spans="2:6" x14ac:dyDescent="0.3">
      <c r="B91" s="35" t="s">
        <v>192</v>
      </c>
      <c r="C91" s="35" t="s">
        <v>155</v>
      </c>
      <c r="D91" s="35">
        <v>27500</v>
      </c>
      <c r="E91" s="35">
        <v>27500</v>
      </c>
      <c r="F91" s="35" t="s">
        <v>87</v>
      </c>
    </row>
    <row r="92" spans="2:6" x14ac:dyDescent="0.3">
      <c r="B92" s="35" t="s">
        <v>193</v>
      </c>
      <c r="C92" s="35" t="s">
        <v>157</v>
      </c>
      <c r="D92" s="35">
        <v>0</v>
      </c>
      <c r="E92" s="35">
        <v>0</v>
      </c>
      <c r="F92" s="35" t="s">
        <v>87</v>
      </c>
    </row>
    <row r="93" spans="2:6" x14ac:dyDescent="0.3">
      <c r="B93" s="35" t="s">
        <v>194</v>
      </c>
      <c r="C93" s="35" t="s">
        <v>159</v>
      </c>
      <c r="D93" s="35">
        <v>0</v>
      </c>
      <c r="E93" s="35">
        <v>0</v>
      </c>
      <c r="F93" s="35" t="s">
        <v>87</v>
      </c>
    </row>
    <row r="94" spans="2:6" x14ac:dyDescent="0.3">
      <c r="B94" s="35" t="s">
        <v>195</v>
      </c>
      <c r="C94" s="35" t="s">
        <v>161</v>
      </c>
      <c r="D94" s="35">
        <v>0</v>
      </c>
      <c r="E94" s="35">
        <v>0</v>
      </c>
      <c r="F94" s="35" t="s">
        <v>87</v>
      </c>
    </row>
    <row r="95" spans="2:6" x14ac:dyDescent="0.3">
      <c r="B95" s="35" t="s">
        <v>196</v>
      </c>
      <c r="C95" s="35" t="s">
        <v>163</v>
      </c>
      <c r="D95" s="35">
        <v>0</v>
      </c>
      <c r="E95" s="35">
        <v>0</v>
      </c>
      <c r="F95" s="35" t="s">
        <v>87</v>
      </c>
    </row>
    <row r="96" spans="2:6" x14ac:dyDescent="0.3">
      <c r="B96" s="35" t="s">
        <v>197</v>
      </c>
      <c r="C96" s="35" t="s">
        <v>165</v>
      </c>
      <c r="D96" s="35">
        <v>2500</v>
      </c>
      <c r="E96" s="35">
        <v>2500</v>
      </c>
      <c r="F96" s="35" t="s">
        <v>87</v>
      </c>
    </row>
    <row r="97" spans="2:6" x14ac:dyDescent="0.3">
      <c r="B97" s="35" t="s">
        <v>198</v>
      </c>
      <c r="C97" s="35" t="s">
        <v>167</v>
      </c>
      <c r="D97" s="35">
        <v>27500</v>
      </c>
      <c r="E97" s="35">
        <v>27500</v>
      </c>
      <c r="F97" s="35" t="s">
        <v>87</v>
      </c>
    </row>
    <row r="98" spans="2:6" x14ac:dyDescent="0.3">
      <c r="B98" s="35" t="s">
        <v>199</v>
      </c>
      <c r="C98" s="35" t="s">
        <v>169</v>
      </c>
      <c r="D98" s="35">
        <v>0</v>
      </c>
      <c r="E98" s="35">
        <v>0</v>
      </c>
      <c r="F98" s="35" t="s">
        <v>87</v>
      </c>
    </row>
    <row r="99" spans="2:6" x14ac:dyDescent="0.3">
      <c r="B99" s="35" t="s">
        <v>200</v>
      </c>
      <c r="C99" s="35" t="s">
        <v>171</v>
      </c>
      <c r="D99" s="35">
        <v>0</v>
      </c>
      <c r="E99" s="35">
        <v>0</v>
      </c>
      <c r="F99" s="35" t="s">
        <v>87</v>
      </c>
    </row>
    <row r="100" spans="2:6" x14ac:dyDescent="0.3">
      <c r="B100" s="35" t="s">
        <v>201</v>
      </c>
      <c r="C100" s="35" t="s">
        <v>173</v>
      </c>
      <c r="D100" s="35">
        <v>0</v>
      </c>
      <c r="E100" s="35">
        <v>0</v>
      </c>
      <c r="F100" s="35" t="s">
        <v>87</v>
      </c>
    </row>
    <row r="101" spans="2:6" x14ac:dyDescent="0.3">
      <c r="B101" s="35" t="s">
        <v>202</v>
      </c>
      <c r="C101" s="35" t="s">
        <v>175</v>
      </c>
      <c r="D101" s="35">
        <v>0</v>
      </c>
      <c r="E101" s="35">
        <v>0</v>
      </c>
      <c r="F101" s="35" t="s">
        <v>87</v>
      </c>
    </row>
    <row r="102" spans="2:6" x14ac:dyDescent="0.3">
      <c r="B102" s="35" t="s">
        <v>203</v>
      </c>
      <c r="C102" s="35" t="s">
        <v>177</v>
      </c>
      <c r="D102" s="35">
        <v>0</v>
      </c>
      <c r="E102" s="35">
        <v>0</v>
      </c>
      <c r="F102" s="35" t="s">
        <v>87</v>
      </c>
    </row>
    <row r="103" spans="2:6" x14ac:dyDescent="0.3">
      <c r="B103" s="35" t="s">
        <v>204</v>
      </c>
      <c r="C103" s="35" t="s">
        <v>179</v>
      </c>
      <c r="D103" s="35">
        <v>30000</v>
      </c>
      <c r="E103" s="35">
        <v>30000</v>
      </c>
      <c r="F103" s="35" t="s">
        <v>87</v>
      </c>
    </row>
    <row r="104" spans="2:6" x14ac:dyDescent="0.3">
      <c r="B104" s="35" t="s">
        <v>205</v>
      </c>
      <c r="C104" s="35" t="s">
        <v>181</v>
      </c>
      <c r="D104" s="35">
        <v>0</v>
      </c>
      <c r="E104" s="35">
        <v>0</v>
      </c>
      <c r="F104" s="35" t="s">
        <v>87</v>
      </c>
    </row>
    <row r="105" spans="2:6" x14ac:dyDescent="0.3">
      <c r="B105" s="35" t="s">
        <v>206</v>
      </c>
      <c r="C105" s="35" t="s">
        <v>147</v>
      </c>
      <c r="D105" s="35">
        <v>0</v>
      </c>
      <c r="E105" s="35">
        <v>0</v>
      </c>
      <c r="F105" s="35" t="s">
        <v>87</v>
      </c>
    </row>
    <row r="106" spans="2:6" x14ac:dyDescent="0.3">
      <c r="B106" s="35" t="s">
        <v>207</v>
      </c>
      <c r="C106" s="35" t="s">
        <v>149</v>
      </c>
      <c r="D106" s="35">
        <v>0</v>
      </c>
      <c r="E106" s="35">
        <v>0</v>
      </c>
      <c r="F106" s="35" t="s">
        <v>87</v>
      </c>
    </row>
    <row r="107" spans="2:6" x14ac:dyDescent="0.3">
      <c r="B107" s="35" t="s">
        <v>208</v>
      </c>
      <c r="C107" s="35" t="s">
        <v>151</v>
      </c>
      <c r="D107" s="35">
        <v>0</v>
      </c>
      <c r="E107" s="35">
        <v>0</v>
      </c>
      <c r="F107" s="35" t="s">
        <v>87</v>
      </c>
    </row>
    <row r="108" spans="2:6" x14ac:dyDescent="0.3">
      <c r="B108" s="35" t="s">
        <v>209</v>
      </c>
      <c r="C108" s="35" t="s">
        <v>153</v>
      </c>
      <c r="D108" s="35">
        <v>20000</v>
      </c>
      <c r="E108" s="35">
        <v>20000</v>
      </c>
      <c r="F108" s="35" t="s">
        <v>87</v>
      </c>
    </row>
    <row r="109" spans="2:6" x14ac:dyDescent="0.3">
      <c r="B109" s="35" t="s">
        <v>210</v>
      </c>
      <c r="C109" s="35" t="s">
        <v>155</v>
      </c>
      <c r="D109" s="35">
        <v>0</v>
      </c>
      <c r="E109" s="35">
        <v>0</v>
      </c>
      <c r="F109" s="35" t="s">
        <v>87</v>
      </c>
    </row>
    <row r="110" spans="2:6" x14ac:dyDescent="0.3">
      <c r="B110" s="35" t="s">
        <v>211</v>
      </c>
      <c r="C110" s="35" t="s">
        <v>157</v>
      </c>
      <c r="D110" s="35">
        <v>0</v>
      </c>
      <c r="E110" s="35">
        <v>0</v>
      </c>
      <c r="F110" s="35" t="s">
        <v>87</v>
      </c>
    </row>
    <row r="111" spans="2:6" x14ac:dyDescent="0.3">
      <c r="B111" s="35" t="s">
        <v>212</v>
      </c>
      <c r="C111" s="35" t="s">
        <v>159</v>
      </c>
      <c r="D111" s="35">
        <v>0</v>
      </c>
      <c r="E111" s="35">
        <v>0</v>
      </c>
      <c r="F111" s="35" t="s">
        <v>87</v>
      </c>
    </row>
    <row r="112" spans="2:6" x14ac:dyDescent="0.3">
      <c r="B112" s="35" t="s">
        <v>213</v>
      </c>
      <c r="C112" s="35" t="s">
        <v>161</v>
      </c>
      <c r="D112" s="35">
        <v>0</v>
      </c>
      <c r="E112" s="35">
        <v>0</v>
      </c>
      <c r="F112" s="35" t="s">
        <v>87</v>
      </c>
    </row>
    <row r="113" spans="2:6" x14ac:dyDescent="0.3">
      <c r="B113" s="35" t="s">
        <v>214</v>
      </c>
      <c r="C113" s="35" t="s">
        <v>163</v>
      </c>
      <c r="D113" s="35">
        <v>25000</v>
      </c>
      <c r="E113" s="35">
        <v>25000</v>
      </c>
      <c r="F113" s="35" t="s">
        <v>87</v>
      </c>
    </row>
    <row r="114" spans="2:6" x14ac:dyDescent="0.3">
      <c r="B114" s="35" t="s">
        <v>215</v>
      </c>
      <c r="C114" s="35" t="s">
        <v>165</v>
      </c>
      <c r="D114" s="35">
        <v>27500</v>
      </c>
      <c r="E114" s="35">
        <v>27500</v>
      </c>
      <c r="F114" s="35" t="s">
        <v>87</v>
      </c>
    </row>
    <row r="115" spans="2:6" x14ac:dyDescent="0.3">
      <c r="B115" s="35" t="s">
        <v>216</v>
      </c>
      <c r="C115" s="35" t="s">
        <v>167</v>
      </c>
      <c r="D115" s="35">
        <v>0</v>
      </c>
      <c r="E115" s="35">
        <v>0</v>
      </c>
      <c r="F115" s="35" t="s">
        <v>87</v>
      </c>
    </row>
    <row r="116" spans="2:6" x14ac:dyDescent="0.3">
      <c r="B116" s="35" t="s">
        <v>217</v>
      </c>
      <c r="C116" s="35" t="s">
        <v>169</v>
      </c>
      <c r="D116" s="35">
        <v>0</v>
      </c>
      <c r="E116" s="35">
        <v>0</v>
      </c>
      <c r="F116" s="35" t="s">
        <v>87</v>
      </c>
    </row>
    <row r="117" spans="2:6" x14ac:dyDescent="0.3">
      <c r="B117" s="35" t="s">
        <v>218</v>
      </c>
      <c r="C117" s="35" t="s">
        <v>171</v>
      </c>
      <c r="D117" s="35">
        <v>0</v>
      </c>
      <c r="E117" s="35">
        <v>0</v>
      </c>
      <c r="F117" s="35" t="s">
        <v>87</v>
      </c>
    </row>
    <row r="118" spans="2:6" x14ac:dyDescent="0.3">
      <c r="B118" s="35" t="s">
        <v>219</v>
      </c>
      <c r="C118" s="35" t="s">
        <v>173</v>
      </c>
      <c r="D118" s="35">
        <v>0</v>
      </c>
      <c r="E118" s="35">
        <v>0</v>
      </c>
      <c r="F118" s="35" t="s">
        <v>87</v>
      </c>
    </row>
    <row r="119" spans="2:6" x14ac:dyDescent="0.3">
      <c r="B119" s="35" t="s">
        <v>220</v>
      </c>
      <c r="C119" s="35" t="s">
        <v>175</v>
      </c>
      <c r="D119" s="35">
        <v>0</v>
      </c>
      <c r="E119" s="35">
        <v>0</v>
      </c>
      <c r="F119" s="35" t="s">
        <v>87</v>
      </c>
    </row>
    <row r="120" spans="2:6" x14ac:dyDescent="0.3">
      <c r="B120" s="35" t="s">
        <v>221</v>
      </c>
      <c r="C120" s="35" t="s">
        <v>177</v>
      </c>
      <c r="D120" s="35">
        <v>20000</v>
      </c>
      <c r="E120" s="35">
        <v>20000</v>
      </c>
      <c r="F120" s="35" t="s">
        <v>87</v>
      </c>
    </row>
    <row r="121" spans="2:6" x14ac:dyDescent="0.3">
      <c r="B121" s="35" t="s">
        <v>222</v>
      </c>
      <c r="C121" s="35" t="s">
        <v>179</v>
      </c>
      <c r="D121" s="35">
        <v>0</v>
      </c>
      <c r="E121" s="35">
        <v>0</v>
      </c>
      <c r="F121" s="35" t="s">
        <v>87</v>
      </c>
    </row>
    <row r="122" spans="2:6" x14ac:dyDescent="0.3">
      <c r="B122" s="35" t="s">
        <v>223</v>
      </c>
      <c r="C122" s="35" t="s">
        <v>181</v>
      </c>
      <c r="D122" s="35">
        <v>0</v>
      </c>
      <c r="E122" s="35">
        <v>0</v>
      </c>
      <c r="F122" s="35" t="s">
        <v>87</v>
      </c>
    </row>
    <row r="123" spans="2:6" x14ac:dyDescent="0.3">
      <c r="B123" s="35" t="s">
        <v>224</v>
      </c>
      <c r="C123" s="35" t="s">
        <v>147</v>
      </c>
      <c r="D123" s="35">
        <v>0</v>
      </c>
      <c r="E123" s="35">
        <v>0</v>
      </c>
      <c r="F123" s="35" t="s">
        <v>87</v>
      </c>
    </row>
    <row r="124" spans="2:6" x14ac:dyDescent="0.3">
      <c r="B124" s="35" t="s">
        <v>225</v>
      </c>
      <c r="C124" s="35" t="s">
        <v>149</v>
      </c>
      <c r="D124" s="35">
        <v>0</v>
      </c>
      <c r="E124" s="35">
        <v>0</v>
      </c>
      <c r="F124" s="35" t="s">
        <v>87</v>
      </c>
    </row>
    <row r="125" spans="2:6" x14ac:dyDescent="0.3">
      <c r="B125" s="35" t="s">
        <v>226</v>
      </c>
      <c r="C125" s="35" t="s">
        <v>151</v>
      </c>
      <c r="D125" s="35">
        <v>25000</v>
      </c>
      <c r="E125" s="35">
        <v>25000</v>
      </c>
      <c r="F125" s="35" t="s">
        <v>87</v>
      </c>
    </row>
    <row r="126" spans="2:6" x14ac:dyDescent="0.3">
      <c r="B126" s="35" t="s">
        <v>227</v>
      </c>
      <c r="C126" s="35" t="s">
        <v>153</v>
      </c>
      <c r="D126" s="35">
        <v>0</v>
      </c>
      <c r="E126" s="35">
        <v>0</v>
      </c>
      <c r="F126" s="35" t="s">
        <v>87</v>
      </c>
    </row>
    <row r="127" spans="2:6" x14ac:dyDescent="0.3">
      <c r="B127" s="35" t="s">
        <v>228</v>
      </c>
      <c r="C127" s="35" t="s">
        <v>155</v>
      </c>
      <c r="D127" s="35">
        <v>0</v>
      </c>
      <c r="E127" s="35">
        <v>0</v>
      </c>
      <c r="F127" s="35" t="s">
        <v>87</v>
      </c>
    </row>
    <row r="128" spans="2:6" x14ac:dyDescent="0.3">
      <c r="B128" s="35" t="s">
        <v>229</v>
      </c>
      <c r="C128" s="35" t="s">
        <v>157</v>
      </c>
      <c r="D128" s="35">
        <v>20000</v>
      </c>
      <c r="E128" s="35">
        <v>20000</v>
      </c>
      <c r="F128" s="35" t="s">
        <v>87</v>
      </c>
    </row>
    <row r="129" spans="2:6" x14ac:dyDescent="0.3">
      <c r="B129" s="35" t="s">
        <v>230</v>
      </c>
      <c r="C129" s="35" t="s">
        <v>159</v>
      </c>
      <c r="D129" s="35">
        <v>7500</v>
      </c>
      <c r="E129" s="35">
        <v>7500</v>
      </c>
      <c r="F129" s="35" t="s">
        <v>87</v>
      </c>
    </row>
    <row r="130" spans="2:6" x14ac:dyDescent="0.3">
      <c r="B130" s="35" t="s">
        <v>231</v>
      </c>
      <c r="C130" s="35" t="s">
        <v>161</v>
      </c>
      <c r="D130" s="35">
        <v>0</v>
      </c>
      <c r="E130" s="35">
        <v>0</v>
      </c>
      <c r="F130" s="35" t="s">
        <v>87</v>
      </c>
    </row>
    <row r="131" spans="2:6" x14ac:dyDescent="0.3">
      <c r="B131" s="35" t="s">
        <v>232</v>
      </c>
      <c r="C131" s="35" t="s">
        <v>163</v>
      </c>
      <c r="D131" s="35">
        <v>0</v>
      </c>
      <c r="E131" s="35">
        <v>0</v>
      </c>
      <c r="F131" s="35" t="s">
        <v>87</v>
      </c>
    </row>
    <row r="132" spans="2:6" x14ac:dyDescent="0.3">
      <c r="B132" s="35" t="s">
        <v>233</v>
      </c>
      <c r="C132" s="35" t="s">
        <v>165</v>
      </c>
      <c r="D132" s="35">
        <v>0</v>
      </c>
      <c r="E132" s="35">
        <v>0</v>
      </c>
      <c r="F132" s="35" t="s">
        <v>87</v>
      </c>
    </row>
    <row r="133" spans="2:6" x14ac:dyDescent="0.3">
      <c r="B133" s="35" t="s">
        <v>234</v>
      </c>
      <c r="C133" s="35" t="s">
        <v>167</v>
      </c>
      <c r="D133" s="35">
        <v>0</v>
      </c>
      <c r="E133" s="35">
        <v>0</v>
      </c>
      <c r="F133" s="35" t="s">
        <v>87</v>
      </c>
    </row>
    <row r="134" spans="2:6" x14ac:dyDescent="0.3">
      <c r="B134" s="35" t="s">
        <v>235</v>
      </c>
      <c r="C134" s="35" t="s">
        <v>169</v>
      </c>
      <c r="D134" s="35">
        <v>0</v>
      </c>
      <c r="E134" s="35">
        <v>0</v>
      </c>
      <c r="F134" s="35" t="s">
        <v>87</v>
      </c>
    </row>
    <row r="135" spans="2:6" x14ac:dyDescent="0.3">
      <c r="B135" s="35" t="s">
        <v>599</v>
      </c>
      <c r="C135" s="35" t="s">
        <v>171</v>
      </c>
      <c r="D135" s="35">
        <v>0</v>
      </c>
      <c r="E135" s="35">
        <v>0</v>
      </c>
      <c r="F135" s="35" t="s">
        <v>87</v>
      </c>
    </row>
    <row r="136" spans="2:6" x14ac:dyDescent="0.3">
      <c r="B136" s="35" t="s">
        <v>600</v>
      </c>
      <c r="C136" s="35" t="s">
        <v>173</v>
      </c>
      <c r="D136" s="35">
        <v>0</v>
      </c>
      <c r="E136" s="35">
        <v>0</v>
      </c>
      <c r="F136" s="35" t="s">
        <v>87</v>
      </c>
    </row>
    <row r="137" spans="2:6" x14ac:dyDescent="0.3">
      <c r="B137" s="35" t="s">
        <v>601</v>
      </c>
      <c r="C137" s="35" t="s">
        <v>175</v>
      </c>
      <c r="D137" s="35">
        <v>0</v>
      </c>
      <c r="E137" s="35">
        <v>0</v>
      </c>
      <c r="F137" s="35" t="s">
        <v>87</v>
      </c>
    </row>
    <row r="138" spans="2:6" x14ac:dyDescent="0.3">
      <c r="B138" s="35" t="s">
        <v>602</v>
      </c>
      <c r="C138" s="35" t="s">
        <v>177</v>
      </c>
      <c r="D138" s="35">
        <v>0</v>
      </c>
      <c r="E138" s="35">
        <v>0</v>
      </c>
      <c r="F138" s="35" t="s">
        <v>87</v>
      </c>
    </row>
    <row r="139" spans="2:6" x14ac:dyDescent="0.3">
      <c r="B139" s="35" t="s">
        <v>603</v>
      </c>
      <c r="C139" s="35" t="s">
        <v>179</v>
      </c>
      <c r="D139" s="35">
        <v>0</v>
      </c>
      <c r="E139" s="35">
        <v>0</v>
      </c>
      <c r="F139" s="35" t="s">
        <v>87</v>
      </c>
    </row>
    <row r="140" spans="2:6" x14ac:dyDescent="0.3">
      <c r="B140" s="35" t="s">
        <v>604</v>
      </c>
      <c r="C140" s="35" t="s">
        <v>181</v>
      </c>
      <c r="D140" s="35">
        <v>55000</v>
      </c>
      <c r="E140" s="35">
        <v>55000</v>
      </c>
      <c r="F140" s="35" t="s">
        <v>87</v>
      </c>
    </row>
    <row r="141" spans="2:6" x14ac:dyDescent="0.3">
      <c r="B141" s="35" t="s">
        <v>436</v>
      </c>
      <c r="C141" s="35" t="s">
        <v>147</v>
      </c>
      <c r="D141" s="35">
        <v>0</v>
      </c>
      <c r="E141" s="35">
        <v>0</v>
      </c>
      <c r="F141" s="35" t="s">
        <v>87</v>
      </c>
    </row>
    <row r="142" spans="2:6" x14ac:dyDescent="0.3">
      <c r="B142" s="35" t="s">
        <v>437</v>
      </c>
      <c r="C142" s="35" t="s">
        <v>149</v>
      </c>
      <c r="D142" s="35">
        <v>0</v>
      </c>
      <c r="E142" s="35">
        <v>0</v>
      </c>
      <c r="F142" s="35" t="s">
        <v>87</v>
      </c>
    </row>
    <row r="143" spans="2:6" x14ac:dyDescent="0.3">
      <c r="B143" s="35" t="s">
        <v>438</v>
      </c>
      <c r="C143" s="35" t="s">
        <v>151</v>
      </c>
      <c r="D143" s="35">
        <v>0</v>
      </c>
      <c r="E143" s="35">
        <v>0</v>
      </c>
      <c r="F143" s="35" t="s">
        <v>87</v>
      </c>
    </row>
    <row r="144" spans="2:6" x14ac:dyDescent="0.3">
      <c r="B144" s="35" t="s">
        <v>439</v>
      </c>
      <c r="C144" s="35" t="s">
        <v>153</v>
      </c>
      <c r="D144" s="35">
        <v>0</v>
      </c>
      <c r="E144" s="35">
        <v>0</v>
      </c>
      <c r="F144" s="35" t="s">
        <v>87</v>
      </c>
    </row>
    <row r="145" spans="2:6" x14ac:dyDescent="0.3">
      <c r="B145" s="35" t="s">
        <v>440</v>
      </c>
      <c r="C145" s="35" t="s">
        <v>155</v>
      </c>
      <c r="D145" s="35">
        <v>0</v>
      </c>
      <c r="E145" s="35">
        <v>0</v>
      </c>
      <c r="F145" s="35" t="s">
        <v>87</v>
      </c>
    </row>
    <row r="146" spans="2:6" x14ac:dyDescent="0.3">
      <c r="B146" s="35" t="s">
        <v>441</v>
      </c>
      <c r="C146" s="35" t="s">
        <v>157</v>
      </c>
      <c r="D146" s="35">
        <v>0</v>
      </c>
      <c r="E146" s="35">
        <v>0</v>
      </c>
      <c r="F146" s="35" t="s">
        <v>87</v>
      </c>
    </row>
    <row r="147" spans="2:6" x14ac:dyDescent="0.3">
      <c r="B147" s="35" t="s">
        <v>442</v>
      </c>
      <c r="C147" s="35" t="s">
        <v>159</v>
      </c>
      <c r="D147" s="35">
        <v>0</v>
      </c>
      <c r="E147" s="35">
        <v>0</v>
      </c>
      <c r="F147" s="35" t="s">
        <v>87</v>
      </c>
    </row>
    <row r="148" spans="2:6" x14ac:dyDescent="0.3">
      <c r="B148" s="35" t="s">
        <v>443</v>
      </c>
      <c r="C148" s="35" t="s">
        <v>161</v>
      </c>
      <c r="D148" s="35">
        <v>0</v>
      </c>
      <c r="E148" s="35">
        <v>0</v>
      </c>
      <c r="F148" s="35" t="s">
        <v>87</v>
      </c>
    </row>
    <row r="149" spans="2:6" x14ac:dyDescent="0.3">
      <c r="B149" s="35" t="s">
        <v>444</v>
      </c>
      <c r="C149" s="35" t="s">
        <v>163</v>
      </c>
      <c r="D149" s="35">
        <v>0</v>
      </c>
      <c r="E149" s="35">
        <v>0</v>
      </c>
      <c r="F149" s="35" t="s">
        <v>87</v>
      </c>
    </row>
    <row r="150" spans="2:6" x14ac:dyDescent="0.3">
      <c r="B150" s="35" t="s">
        <v>445</v>
      </c>
      <c r="C150" s="35" t="s">
        <v>165</v>
      </c>
      <c r="D150" s="35">
        <v>0</v>
      </c>
      <c r="E150" s="35">
        <v>0</v>
      </c>
      <c r="F150" s="35" t="s">
        <v>87</v>
      </c>
    </row>
    <row r="151" spans="2:6" x14ac:dyDescent="0.3">
      <c r="B151" s="35" t="s">
        <v>446</v>
      </c>
      <c r="C151" s="35" t="s">
        <v>167</v>
      </c>
      <c r="D151" s="35">
        <v>0</v>
      </c>
      <c r="E151" s="35">
        <v>0</v>
      </c>
      <c r="F151" s="35" t="s">
        <v>87</v>
      </c>
    </row>
    <row r="152" spans="2:6" x14ac:dyDescent="0.3">
      <c r="B152" s="35" t="s">
        <v>447</v>
      </c>
      <c r="C152" s="35" t="s">
        <v>169</v>
      </c>
      <c r="D152" s="35">
        <v>0</v>
      </c>
      <c r="E152" s="35">
        <v>0</v>
      </c>
      <c r="F152" s="35" t="s">
        <v>87</v>
      </c>
    </row>
    <row r="153" spans="2:6" x14ac:dyDescent="0.3">
      <c r="B153" s="35" t="s">
        <v>448</v>
      </c>
      <c r="C153" s="35" t="s">
        <v>171</v>
      </c>
      <c r="D153" s="35">
        <v>0</v>
      </c>
      <c r="E153" s="35">
        <v>0</v>
      </c>
      <c r="F153" s="35" t="s">
        <v>87</v>
      </c>
    </row>
    <row r="154" spans="2:6" x14ac:dyDescent="0.3">
      <c r="B154" s="35" t="s">
        <v>449</v>
      </c>
      <c r="C154" s="35" t="s">
        <v>173</v>
      </c>
      <c r="D154" s="35">
        <v>0</v>
      </c>
      <c r="E154" s="35">
        <v>0</v>
      </c>
      <c r="F154" s="35" t="s">
        <v>87</v>
      </c>
    </row>
    <row r="155" spans="2:6" x14ac:dyDescent="0.3">
      <c r="B155" s="35" t="s">
        <v>450</v>
      </c>
      <c r="C155" s="35" t="s">
        <v>175</v>
      </c>
      <c r="D155" s="35">
        <v>0</v>
      </c>
      <c r="E155" s="35">
        <v>0</v>
      </c>
      <c r="F155" s="35" t="s">
        <v>87</v>
      </c>
    </row>
    <row r="156" spans="2:6" x14ac:dyDescent="0.3">
      <c r="B156" s="35" t="s">
        <v>451</v>
      </c>
      <c r="C156" s="35" t="s">
        <v>177</v>
      </c>
      <c r="D156" s="35">
        <v>0</v>
      </c>
      <c r="E156" s="35">
        <v>0</v>
      </c>
      <c r="F156" s="35" t="s">
        <v>87</v>
      </c>
    </row>
    <row r="157" spans="2:6" x14ac:dyDescent="0.3">
      <c r="B157" s="35" t="s">
        <v>452</v>
      </c>
      <c r="C157" s="35" t="s">
        <v>179</v>
      </c>
      <c r="D157" s="35">
        <v>0</v>
      </c>
      <c r="E157" s="35">
        <v>0</v>
      </c>
      <c r="F157" s="35" t="s">
        <v>87</v>
      </c>
    </row>
    <row r="158" spans="2:6" x14ac:dyDescent="0.3">
      <c r="B158" s="35" t="s">
        <v>453</v>
      </c>
      <c r="C158" s="35" t="s">
        <v>181</v>
      </c>
      <c r="D158" s="35">
        <v>0</v>
      </c>
      <c r="E158" s="35">
        <v>0</v>
      </c>
      <c r="F158" s="35" t="s">
        <v>87</v>
      </c>
    </row>
    <row r="159" spans="2:6" x14ac:dyDescent="0.3">
      <c r="B159" s="35" t="s">
        <v>454</v>
      </c>
      <c r="C159" s="35" t="s">
        <v>147</v>
      </c>
      <c r="D159" s="35">
        <v>0</v>
      </c>
      <c r="E159" s="35">
        <v>0</v>
      </c>
      <c r="F159" s="35" t="s">
        <v>87</v>
      </c>
    </row>
    <row r="160" spans="2:6" x14ac:dyDescent="0.3">
      <c r="B160" s="35" t="s">
        <v>455</v>
      </c>
      <c r="C160" s="35" t="s">
        <v>149</v>
      </c>
      <c r="D160" s="35">
        <v>0</v>
      </c>
      <c r="E160" s="35">
        <v>0</v>
      </c>
      <c r="F160" s="35" t="s">
        <v>87</v>
      </c>
    </row>
    <row r="161" spans="2:6" x14ac:dyDescent="0.3">
      <c r="B161" s="35" t="s">
        <v>456</v>
      </c>
      <c r="C161" s="35" t="s">
        <v>151</v>
      </c>
      <c r="D161" s="35">
        <v>0</v>
      </c>
      <c r="E161" s="35">
        <v>0</v>
      </c>
      <c r="F161" s="35" t="s">
        <v>87</v>
      </c>
    </row>
    <row r="162" spans="2:6" x14ac:dyDescent="0.3">
      <c r="B162" s="35" t="s">
        <v>457</v>
      </c>
      <c r="C162" s="35" t="s">
        <v>153</v>
      </c>
      <c r="D162" s="35">
        <v>0</v>
      </c>
      <c r="E162" s="35">
        <v>0</v>
      </c>
      <c r="F162" s="35" t="s">
        <v>87</v>
      </c>
    </row>
    <row r="163" spans="2:6" x14ac:dyDescent="0.3">
      <c r="B163" s="35" t="s">
        <v>458</v>
      </c>
      <c r="C163" s="35" t="s">
        <v>155</v>
      </c>
      <c r="D163" s="35">
        <v>0</v>
      </c>
      <c r="E163" s="35">
        <v>0</v>
      </c>
      <c r="F163" s="35" t="s">
        <v>87</v>
      </c>
    </row>
    <row r="164" spans="2:6" x14ac:dyDescent="0.3">
      <c r="B164" s="35" t="s">
        <v>459</v>
      </c>
      <c r="C164" s="35" t="s">
        <v>157</v>
      </c>
      <c r="D164" s="35">
        <v>0</v>
      </c>
      <c r="E164" s="35">
        <v>0</v>
      </c>
      <c r="F164" s="35" t="s">
        <v>87</v>
      </c>
    </row>
    <row r="165" spans="2:6" x14ac:dyDescent="0.3">
      <c r="B165" s="35" t="s">
        <v>460</v>
      </c>
      <c r="C165" s="35" t="s">
        <v>159</v>
      </c>
      <c r="D165" s="35">
        <v>0</v>
      </c>
      <c r="E165" s="35">
        <v>0</v>
      </c>
      <c r="F165" s="35" t="s">
        <v>87</v>
      </c>
    </row>
    <row r="166" spans="2:6" x14ac:dyDescent="0.3">
      <c r="B166" s="35" t="s">
        <v>461</v>
      </c>
      <c r="C166" s="35" t="s">
        <v>161</v>
      </c>
      <c r="D166" s="35">
        <v>0</v>
      </c>
      <c r="E166" s="35">
        <v>0</v>
      </c>
      <c r="F166" s="35" t="s">
        <v>87</v>
      </c>
    </row>
    <row r="167" spans="2:6" x14ac:dyDescent="0.3">
      <c r="B167" s="35" t="s">
        <v>462</v>
      </c>
      <c r="C167" s="35" t="s">
        <v>163</v>
      </c>
      <c r="D167" s="35">
        <v>0</v>
      </c>
      <c r="E167" s="35">
        <v>0</v>
      </c>
      <c r="F167" s="35" t="s">
        <v>87</v>
      </c>
    </row>
    <row r="168" spans="2:6" x14ac:dyDescent="0.3">
      <c r="B168" s="35" t="s">
        <v>463</v>
      </c>
      <c r="C168" s="35" t="s">
        <v>165</v>
      </c>
      <c r="D168" s="35">
        <v>0</v>
      </c>
      <c r="E168" s="35">
        <v>0</v>
      </c>
      <c r="F168" s="35" t="s">
        <v>87</v>
      </c>
    </row>
    <row r="169" spans="2:6" x14ac:dyDescent="0.3">
      <c r="B169" s="35" t="s">
        <v>464</v>
      </c>
      <c r="C169" s="35" t="s">
        <v>167</v>
      </c>
      <c r="D169" s="35">
        <v>0</v>
      </c>
      <c r="E169" s="35">
        <v>0</v>
      </c>
      <c r="F169" s="35" t="s">
        <v>87</v>
      </c>
    </row>
    <row r="170" spans="2:6" x14ac:dyDescent="0.3">
      <c r="B170" s="35" t="s">
        <v>465</v>
      </c>
      <c r="C170" s="35" t="s">
        <v>169</v>
      </c>
      <c r="D170" s="35">
        <v>0</v>
      </c>
      <c r="E170" s="35">
        <v>0</v>
      </c>
      <c r="F170" s="35" t="s">
        <v>87</v>
      </c>
    </row>
    <row r="171" spans="2:6" x14ac:dyDescent="0.3">
      <c r="B171" s="35" t="s">
        <v>466</v>
      </c>
      <c r="C171" s="35" t="s">
        <v>171</v>
      </c>
      <c r="D171" s="35">
        <v>0</v>
      </c>
      <c r="E171" s="35">
        <v>0</v>
      </c>
      <c r="F171" s="35" t="s">
        <v>87</v>
      </c>
    </row>
    <row r="172" spans="2:6" x14ac:dyDescent="0.3">
      <c r="B172" s="35" t="s">
        <v>467</v>
      </c>
      <c r="C172" s="35" t="s">
        <v>173</v>
      </c>
      <c r="D172" s="35">
        <v>0</v>
      </c>
      <c r="E172" s="35">
        <v>0</v>
      </c>
      <c r="F172" s="35" t="s">
        <v>87</v>
      </c>
    </row>
    <row r="173" spans="2:6" x14ac:dyDescent="0.3">
      <c r="B173" s="35" t="s">
        <v>468</v>
      </c>
      <c r="C173" s="35" t="s">
        <v>175</v>
      </c>
      <c r="D173" s="35">
        <v>0</v>
      </c>
      <c r="E173" s="35">
        <v>0</v>
      </c>
      <c r="F173" s="35" t="s">
        <v>87</v>
      </c>
    </row>
    <row r="174" spans="2:6" x14ac:dyDescent="0.3">
      <c r="B174" s="35" t="s">
        <v>469</v>
      </c>
      <c r="C174" s="35" t="s">
        <v>177</v>
      </c>
      <c r="D174" s="35">
        <v>0</v>
      </c>
      <c r="E174" s="35">
        <v>0</v>
      </c>
      <c r="F174" s="35" t="s">
        <v>87</v>
      </c>
    </row>
    <row r="175" spans="2:6" x14ac:dyDescent="0.3">
      <c r="B175" s="35" t="s">
        <v>470</v>
      </c>
      <c r="C175" s="35" t="s">
        <v>179</v>
      </c>
      <c r="D175" s="35">
        <v>0</v>
      </c>
      <c r="E175" s="35">
        <v>0</v>
      </c>
      <c r="F175" s="35" t="s">
        <v>87</v>
      </c>
    </row>
    <row r="176" spans="2:6" x14ac:dyDescent="0.3">
      <c r="B176" s="35" t="s">
        <v>471</v>
      </c>
      <c r="C176" s="35" t="s">
        <v>181</v>
      </c>
      <c r="D176" s="35">
        <v>0</v>
      </c>
      <c r="E176" s="35">
        <v>0</v>
      </c>
      <c r="F176" s="35" t="s">
        <v>87</v>
      </c>
    </row>
    <row r="177" spans="2:6" x14ac:dyDescent="0.3">
      <c r="B177" s="35" t="s">
        <v>472</v>
      </c>
      <c r="C177" s="35" t="s">
        <v>147</v>
      </c>
      <c r="D177" s="35">
        <v>0</v>
      </c>
      <c r="E177" s="35">
        <v>0</v>
      </c>
      <c r="F177" s="35" t="s">
        <v>87</v>
      </c>
    </row>
    <row r="178" spans="2:6" x14ac:dyDescent="0.3">
      <c r="B178" s="35" t="s">
        <v>473</v>
      </c>
      <c r="C178" s="35" t="s">
        <v>149</v>
      </c>
      <c r="D178" s="35">
        <v>0</v>
      </c>
      <c r="E178" s="35">
        <v>0</v>
      </c>
      <c r="F178" s="35" t="s">
        <v>87</v>
      </c>
    </row>
    <row r="179" spans="2:6" x14ac:dyDescent="0.3">
      <c r="B179" s="35" t="s">
        <v>474</v>
      </c>
      <c r="C179" s="35" t="s">
        <v>151</v>
      </c>
      <c r="D179" s="35">
        <v>0</v>
      </c>
      <c r="E179" s="35">
        <v>0</v>
      </c>
      <c r="F179" s="35" t="s">
        <v>87</v>
      </c>
    </row>
    <row r="180" spans="2:6" x14ac:dyDescent="0.3">
      <c r="B180" s="35" t="s">
        <v>475</v>
      </c>
      <c r="C180" s="35" t="s">
        <v>153</v>
      </c>
      <c r="D180" s="35">
        <v>0</v>
      </c>
      <c r="E180" s="35">
        <v>0</v>
      </c>
      <c r="F180" s="35" t="s">
        <v>87</v>
      </c>
    </row>
    <row r="181" spans="2:6" x14ac:dyDescent="0.3">
      <c r="B181" s="35" t="s">
        <v>476</v>
      </c>
      <c r="C181" s="35" t="s">
        <v>155</v>
      </c>
      <c r="D181" s="35">
        <v>0</v>
      </c>
      <c r="E181" s="35">
        <v>0</v>
      </c>
      <c r="F181" s="35" t="s">
        <v>87</v>
      </c>
    </row>
    <row r="182" spans="2:6" x14ac:dyDescent="0.3">
      <c r="B182" s="35" t="s">
        <v>477</v>
      </c>
      <c r="C182" s="35" t="s">
        <v>157</v>
      </c>
      <c r="D182" s="35">
        <v>0</v>
      </c>
      <c r="E182" s="35">
        <v>0</v>
      </c>
      <c r="F182" s="35" t="s">
        <v>87</v>
      </c>
    </row>
    <row r="183" spans="2:6" x14ac:dyDescent="0.3">
      <c r="B183" s="35" t="s">
        <v>478</v>
      </c>
      <c r="C183" s="35" t="s">
        <v>159</v>
      </c>
      <c r="D183" s="35">
        <v>0</v>
      </c>
      <c r="E183" s="35">
        <v>0</v>
      </c>
      <c r="F183" s="35" t="s">
        <v>87</v>
      </c>
    </row>
    <row r="184" spans="2:6" x14ac:dyDescent="0.3">
      <c r="B184" s="35" t="s">
        <v>479</v>
      </c>
      <c r="C184" s="35" t="s">
        <v>161</v>
      </c>
      <c r="D184" s="35">
        <v>0</v>
      </c>
      <c r="E184" s="35">
        <v>0</v>
      </c>
      <c r="F184" s="35" t="s">
        <v>87</v>
      </c>
    </row>
    <row r="185" spans="2:6" x14ac:dyDescent="0.3">
      <c r="B185" s="35" t="s">
        <v>480</v>
      </c>
      <c r="C185" s="35" t="s">
        <v>163</v>
      </c>
      <c r="D185" s="35">
        <v>0</v>
      </c>
      <c r="E185" s="35">
        <v>0</v>
      </c>
      <c r="F185" s="35" t="s">
        <v>87</v>
      </c>
    </row>
    <row r="186" spans="2:6" x14ac:dyDescent="0.3">
      <c r="B186" s="35" t="s">
        <v>481</v>
      </c>
      <c r="C186" s="35" t="s">
        <v>165</v>
      </c>
      <c r="D186" s="35">
        <v>0</v>
      </c>
      <c r="E186" s="35">
        <v>0</v>
      </c>
      <c r="F186" s="35" t="s">
        <v>87</v>
      </c>
    </row>
    <row r="187" spans="2:6" x14ac:dyDescent="0.3">
      <c r="B187" s="35" t="s">
        <v>482</v>
      </c>
      <c r="C187" s="35" t="s">
        <v>167</v>
      </c>
      <c r="D187" s="35">
        <v>0</v>
      </c>
      <c r="E187" s="35">
        <v>0</v>
      </c>
      <c r="F187" s="35" t="s">
        <v>87</v>
      </c>
    </row>
    <row r="188" spans="2:6" x14ac:dyDescent="0.3">
      <c r="B188" s="35" t="s">
        <v>483</v>
      </c>
      <c r="C188" s="35" t="s">
        <v>169</v>
      </c>
      <c r="D188" s="35">
        <v>0</v>
      </c>
      <c r="E188" s="35">
        <v>0</v>
      </c>
      <c r="F188" s="35" t="s">
        <v>87</v>
      </c>
    </row>
    <row r="189" spans="2:6" x14ac:dyDescent="0.3">
      <c r="B189" s="35" t="s">
        <v>484</v>
      </c>
      <c r="C189" s="35" t="s">
        <v>171</v>
      </c>
      <c r="D189" s="35">
        <v>0</v>
      </c>
      <c r="E189" s="35">
        <v>0</v>
      </c>
      <c r="F189" s="35" t="s">
        <v>87</v>
      </c>
    </row>
    <row r="190" spans="2:6" x14ac:dyDescent="0.3">
      <c r="B190" s="35" t="s">
        <v>485</v>
      </c>
      <c r="C190" s="35" t="s">
        <v>173</v>
      </c>
      <c r="D190" s="35">
        <v>0</v>
      </c>
      <c r="E190" s="35">
        <v>0</v>
      </c>
      <c r="F190" s="35" t="s">
        <v>87</v>
      </c>
    </row>
    <row r="191" spans="2:6" x14ac:dyDescent="0.3">
      <c r="B191" s="35" t="s">
        <v>486</v>
      </c>
      <c r="C191" s="35" t="s">
        <v>175</v>
      </c>
      <c r="D191" s="35">
        <v>12500</v>
      </c>
      <c r="E191" s="35">
        <v>12500</v>
      </c>
      <c r="F191" s="35" t="s">
        <v>87</v>
      </c>
    </row>
    <row r="192" spans="2:6" x14ac:dyDescent="0.3">
      <c r="B192" s="35" t="s">
        <v>487</v>
      </c>
      <c r="C192" s="35" t="s">
        <v>177</v>
      </c>
      <c r="D192" s="35">
        <v>0</v>
      </c>
      <c r="E192" s="35">
        <v>0</v>
      </c>
      <c r="F192" s="35" t="s">
        <v>87</v>
      </c>
    </row>
    <row r="193" spans="2:6" x14ac:dyDescent="0.3">
      <c r="B193" s="35" t="s">
        <v>488</v>
      </c>
      <c r="C193" s="35" t="s">
        <v>179</v>
      </c>
      <c r="D193" s="35">
        <v>0</v>
      </c>
      <c r="E193" s="35">
        <v>0</v>
      </c>
      <c r="F193" s="35" t="s">
        <v>87</v>
      </c>
    </row>
    <row r="194" spans="2:6" x14ac:dyDescent="0.3">
      <c r="B194" s="35" t="s">
        <v>489</v>
      </c>
      <c r="C194" s="35" t="s">
        <v>181</v>
      </c>
      <c r="D194" s="35">
        <v>0</v>
      </c>
      <c r="E194" s="35">
        <v>0</v>
      </c>
      <c r="F194" s="35" t="s">
        <v>87</v>
      </c>
    </row>
    <row r="195" spans="2:6" x14ac:dyDescent="0.3">
      <c r="B195" s="35" t="s">
        <v>490</v>
      </c>
      <c r="C195" s="35" t="s">
        <v>147</v>
      </c>
      <c r="D195" s="35">
        <v>0</v>
      </c>
      <c r="E195" s="35">
        <v>0</v>
      </c>
      <c r="F195" s="35" t="s">
        <v>87</v>
      </c>
    </row>
    <row r="196" spans="2:6" x14ac:dyDescent="0.3">
      <c r="B196" s="35" t="s">
        <v>491</v>
      </c>
      <c r="C196" s="35" t="s">
        <v>149</v>
      </c>
      <c r="D196" s="35">
        <v>0</v>
      </c>
      <c r="E196" s="35">
        <v>0</v>
      </c>
      <c r="F196" s="35" t="s">
        <v>87</v>
      </c>
    </row>
    <row r="197" spans="2:6" x14ac:dyDescent="0.3">
      <c r="B197" s="35" t="s">
        <v>492</v>
      </c>
      <c r="C197" s="35" t="s">
        <v>151</v>
      </c>
      <c r="D197" s="35">
        <v>0</v>
      </c>
      <c r="E197" s="35">
        <v>0</v>
      </c>
      <c r="F197" s="35" t="s">
        <v>87</v>
      </c>
    </row>
    <row r="198" spans="2:6" x14ac:dyDescent="0.3">
      <c r="B198" s="35" t="s">
        <v>493</v>
      </c>
      <c r="C198" s="35" t="s">
        <v>153</v>
      </c>
      <c r="D198" s="35">
        <v>0</v>
      </c>
      <c r="E198" s="35">
        <v>0</v>
      </c>
      <c r="F198" s="35" t="s">
        <v>87</v>
      </c>
    </row>
    <row r="199" spans="2:6" x14ac:dyDescent="0.3">
      <c r="B199" s="35" t="s">
        <v>494</v>
      </c>
      <c r="C199" s="35" t="s">
        <v>155</v>
      </c>
      <c r="D199" s="35">
        <v>0</v>
      </c>
      <c r="E199" s="35">
        <v>0</v>
      </c>
      <c r="F199" s="35" t="s">
        <v>87</v>
      </c>
    </row>
    <row r="200" spans="2:6" x14ac:dyDescent="0.3">
      <c r="B200" s="35" t="s">
        <v>495</v>
      </c>
      <c r="C200" s="35" t="s">
        <v>157</v>
      </c>
      <c r="D200" s="35">
        <v>0</v>
      </c>
      <c r="E200" s="35">
        <v>0</v>
      </c>
      <c r="F200" s="35" t="s">
        <v>87</v>
      </c>
    </row>
    <row r="201" spans="2:6" x14ac:dyDescent="0.3">
      <c r="B201" s="35" t="s">
        <v>496</v>
      </c>
      <c r="C201" s="35" t="s">
        <v>159</v>
      </c>
      <c r="D201" s="35">
        <v>0</v>
      </c>
      <c r="E201" s="35">
        <v>0</v>
      </c>
      <c r="F201" s="35" t="s">
        <v>87</v>
      </c>
    </row>
    <row r="202" spans="2:6" x14ac:dyDescent="0.3">
      <c r="B202" s="35" t="s">
        <v>497</v>
      </c>
      <c r="C202" s="35" t="s">
        <v>161</v>
      </c>
      <c r="D202" s="35">
        <v>0</v>
      </c>
      <c r="E202" s="35">
        <v>0</v>
      </c>
      <c r="F202" s="35" t="s">
        <v>87</v>
      </c>
    </row>
    <row r="203" spans="2:6" x14ac:dyDescent="0.3">
      <c r="B203" s="35" t="s">
        <v>498</v>
      </c>
      <c r="C203" s="35" t="s">
        <v>163</v>
      </c>
      <c r="D203" s="35">
        <v>0</v>
      </c>
      <c r="E203" s="35">
        <v>0</v>
      </c>
      <c r="F203" s="35" t="s">
        <v>87</v>
      </c>
    </row>
    <row r="204" spans="2:6" x14ac:dyDescent="0.3">
      <c r="B204" s="35" t="s">
        <v>499</v>
      </c>
      <c r="C204" s="35" t="s">
        <v>165</v>
      </c>
      <c r="D204" s="35">
        <v>0</v>
      </c>
      <c r="E204" s="35">
        <v>0</v>
      </c>
      <c r="F204" s="35" t="s">
        <v>87</v>
      </c>
    </row>
    <row r="205" spans="2:6" x14ac:dyDescent="0.3">
      <c r="B205" s="35" t="s">
        <v>500</v>
      </c>
      <c r="C205" s="35" t="s">
        <v>167</v>
      </c>
      <c r="D205" s="35">
        <v>0</v>
      </c>
      <c r="E205" s="35">
        <v>0</v>
      </c>
      <c r="F205" s="35" t="s">
        <v>87</v>
      </c>
    </row>
    <row r="206" spans="2:6" x14ac:dyDescent="0.3">
      <c r="B206" s="35" t="s">
        <v>501</v>
      </c>
      <c r="C206" s="35" t="s">
        <v>169</v>
      </c>
      <c r="D206" s="35">
        <v>0</v>
      </c>
      <c r="E206" s="35">
        <v>0</v>
      </c>
      <c r="F206" s="35" t="s">
        <v>87</v>
      </c>
    </row>
    <row r="207" spans="2:6" x14ac:dyDescent="0.3">
      <c r="B207" s="35" t="s">
        <v>605</v>
      </c>
      <c r="C207" s="35" t="s">
        <v>171</v>
      </c>
      <c r="D207" s="35">
        <v>0</v>
      </c>
      <c r="E207" s="35">
        <v>0</v>
      </c>
      <c r="F207" s="35" t="s">
        <v>87</v>
      </c>
    </row>
    <row r="208" spans="2:6" x14ac:dyDescent="0.3">
      <c r="B208" s="35" t="s">
        <v>606</v>
      </c>
      <c r="C208" s="35" t="s">
        <v>173</v>
      </c>
      <c r="D208" s="35">
        <v>0</v>
      </c>
      <c r="E208" s="35">
        <v>0</v>
      </c>
      <c r="F208" s="35" t="s">
        <v>87</v>
      </c>
    </row>
    <row r="209" spans="1:7" x14ac:dyDescent="0.3">
      <c r="B209" s="35" t="s">
        <v>607</v>
      </c>
      <c r="C209" s="35" t="s">
        <v>175</v>
      </c>
      <c r="D209" s="35">
        <v>0</v>
      </c>
      <c r="E209" s="35">
        <v>0</v>
      </c>
      <c r="F209" s="35" t="s">
        <v>87</v>
      </c>
    </row>
    <row r="210" spans="1:7" x14ac:dyDescent="0.3">
      <c r="B210" s="35" t="s">
        <v>608</v>
      </c>
      <c r="C210" s="35" t="s">
        <v>177</v>
      </c>
      <c r="D210" s="35">
        <v>0</v>
      </c>
      <c r="E210" s="35">
        <v>0</v>
      </c>
      <c r="F210" s="35" t="s">
        <v>87</v>
      </c>
    </row>
    <row r="211" spans="1:7" x14ac:dyDescent="0.3">
      <c r="B211" s="35" t="s">
        <v>609</v>
      </c>
      <c r="C211" s="35" t="s">
        <v>179</v>
      </c>
      <c r="D211" s="35">
        <v>0</v>
      </c>
      <c r="E211" s="35">
        <v>0</v>
      </c>
      <c r="F211" s="35" t="s">
        <v>87</v>
      </c>
    </row>
    <row r="212" spans="1:7" ht="15" thickBot="1" x14ac:dyDescent="0.35">
      <c r="B212" s="33" t="s">
        <v>610</v>
      </c>
      <c r="C212" s="33" t="s">
        <v>181</v>
      </c>
      <c r="D212" s="33">
        <v>0</v>
      </c>
      <c r="E212" s="33">
        <v>0</v>
      </c>
      <c r="F212" s="33" t="s">
        <v>87</v>
      </c>
    </row>
    <row r="215" spans="1:7" ht="15" thickBot="1" x14ac:dyDescent="0.35">
      <c r="A215" t="s">
        <v>308</v>
      </c>
    </row>
    <row r="216" spans="1:7" ht="15" thickBot="1" x14ac:dyDescent="0.35">
      <c r="B216" s="34" t="s">
        <v>77</v>
      </c>
      <c r="C216" s="34" t="s">
        <v>78</v>
      </c>
      <c r="D216" s="34" t="s">
        <v>309</v>
      </c>
      <c r="E216" s="34" t="s">
        <v>310</v>
      </c>
      <c r="F216" s="34" t="s">
        <v>311</v>
      </c>
      <c r="G216" s="34" t="s">
        <v>312</v>
      </c>
    </row>
    <row r="217" spans="1:7" x14ac:dyDescent="0.3">
      <c r="B217" s="35" t="s">
        <v>611</v>
      </c>
      <c r="C217" s="35" t="s">
        <v>48</v>
      </c>
      <c r="D217" s="35">
        <v>10000</v>
      </c>
      <c r="E217" s="35" t="s">
        <v>612</v>
      </c>
      <c r="F217" s="35" t="s">
        <v>315</v>
      </c>
      <c r="G217" s="35">
        <v>0</v>
      </c>
    </row>
    <row r="218" spans="1:7" x14ac:dyDescent="0.3">
      <c r="B218" s="35" t="s">
        <v>613</v>
      </c>
      <c r="C218" s="35" t="s">
        <v>48</v>
      </c>
      <c r="D218" s="35">
        <v>7500</v>
      </c>
      <c r="E218" s="35" t="s">
        <v>614</v>
      </c>
      <c r="F218" s="35" t="s">
        <v>315</v>
      </c>
      <c r="G218" s="35">
        <v>0</v>
      </c>
    </row>
    <row r="219" spans="1:7" x14ac:dyDescent="0.3">
      <c r="B219" s="35" t="s">
        <v>615</v>
      </c>
      <c r="C219" s="35" t="s">
        <v>48</v>
      </c>
      <c r="D219" s="35">
        <v>10000</v>
      </c>
      <c r="E219" s="35" t="s">
        <v>616</v>
      </c>
      <c r="F219" s="35" t="s">
        <v>315</v>
      </c>
      <c r="G219" s="35">
        <v>0</v>
      </c>
    </row>
    <row r="220" spans="1:7" x14ac:dyDescent="0.3">
      <c r="B220" s="35" t="s">
        <v>617</v>
      </c>
      <c r="C220" s="35" t="s">
        <v>48</v>
      </c>
      <c r="D220" s="35">
        <v>27500</v>
      </c>
      <c r="E220" s="35" t="s">
        <v>618</v>
      </c>
      <c r="F220" s="35" t="s">
        <v>315</v>
      </c>
      <c r="G220" s="35">
        <v>0</v>
      </c>
    </row>
    <row r="221" spans="1:7" x14ac:dyDescent="0.3">
      <c r="B221" s="35" t="s">
        <v>619</v>
      </c>
      <c r="C221" s="35" t="s">
        <v>48</v>
      </c>
      <c r="D221" s="35">
        <v>12500</v>
      </c>
      <c r="E221" s="35" t="s">
        <v>620</v>
      </c>
      <c r="F221" s="35" t="s">
        <v>315</v>
      </c>
      <c r="G221" s="35">
        <v>0</v>
      </c>
    </row>
    <row r="222" spans="1:7" x14ac:dyDescent="0.3">
      <c r="B222" s="35" t="s">
        <v>621</v>
      </c>
      <c r="C222" s="35" t="s">
        <v>48</v>
      </c>
      <c r="D222" s="35">
        <v>22500</v>
      </c>
      <c r="E222" s="35" t="s">
        <v>622</v>
      </c>
      <c r="F222" s="35" t="s">
        <v>315</v>
      </c>
      <c r="G222" s="35">
        <v>0</v>
      </c>
    </row>
    <row r="223" spans="1:7" x14ac:dyDescent="0.3">
      <c r="B223" s="35" t="s">
        <v>623</v>
      </c>
      <c r="C223" s="35" t="s">
        <v>48</v>
      </c>
      <c r="D223" s="35">
        <v>25000</v>
      </c>
      <c r="E223" s="35" t="s">
        <v>624</v>
      </c>
      <c r="F223" s="35" t="s">
        <v>315</v>
      </c>
      <c r="G223" s="35">
        <v>0</v>
      </c>
    </row>
    <row r="224" spans="1:7" x14ac:dyDescent="0.3">
      <c r="B224" s="35" t="s">
        <v>502</v>
      </c>
      <c r="C224" s="35" t="s">
        <v>48</v>
      </c>
      <c r="D224" s="35">
        <v>25000</v>
      </c>
      <c r="E224" s="35" t="s">
        <v>503</v>
      </c>
      <c r="F224" s="35" t="s">
        <v>315</v>
      </c>
      <c r="G224" s="35">
        <v>0</v>
      </c>
    </row>
    <row r="225" spans="2:7" x14ac:dyDescent="0.3">
      <c r="B225" s="35" t="s">
        <v>504</v>
      </c>
      <c r="C225" s="35" t="s">
        <v>48</v>
      </c>
      <c r="D225" s="35">
        <v>25000</v>
      </c>
      <c r="E225" s="35" t="s">
        <v>505</v>
      </c>
      <c r="F225" s="35" t="s">
        <v>315</v>
      </c>
      <c r="G225" s="35">
        <v>0</v>
      </c>
    </row>
    <row r="226" spans="2:7" x14ac:dyDescent="0.3">
      <c r="B226" s="35" t="s">
        <v>506</v>
      </c>
      <c r="C226" s="35" t="s">
        <v>48</v>
      </c>
      <c r="D226" s="35">
        <v>32500</v>
      </c>
      <c r="E226" s="35" t="s">
        <v>507</v>
      </c>
      <c r="F226" s="35" t="s">
        <v>315</v>
      </c>
      <c r="G226" s="35">
        <v>0</v>
      </c>
    </row>
    <row r="227" spans="2:7" x14ac:dyDescent="0.3">
      <c r="B227" s="35" t="s">
        <v>508</v>
      </c>
      <c r="C227" s="35" t="s">
        <v>48</v>
      </c>
      <c r="D227" s="35">
        <v>32500</v>
      </c>
      <c r="E227" s="35" t="s">
        <v>509</v>
      </c>
      <c r="F227" s="35" t="s">
        <v>315</v>
      </c>
      <c r="G227" s="35">
        <v>0</v>
      </c>
    </row>
    <row r="228" spans="2:7" x14ac:dyDescent="0.3">
      <c r="B228" s="35" t="s">
        <v>510</v>
      </c>
      <c r="C228" s="35" t="s">
        <v>48</v>
      </c>
      <c r="D228" s="35">
        <v>35000</v>
      </c>
      <c r="E228" s="35" t="s">
        <v>511</v>
      </c>
      <c r="F228" s="35" t="s">
        <v>315</v>
      </c>
      <c r="G228" s="35">
        <v>0</v>
      </c>
    </row>
    <row r="229" spans="2:7" x14ac:dyDescent="0.3">
      <c r="B229" s="35" t="s">
        <v>512</v>
      </c>
      <c r="C229" s="35" t="s">
        <v>48</v>
      </c>
      <c r="D229" s="35">
        <v>27500</v>
      </c>
      <c r="E229" s="35" t="s">
        <v>513</v>
      </c>
      <c r="F229" s="35" t="s">
        <v>315</v>
      </c>
      <c r="G229" s="35">
        <v>0</v>
      </c>
    </row>
    <row r="230" spans="2:7" x14ac:dyDescent="0.3">
      <c r="B230" s="35" t="s">
        <v>514</v>
      </c>
      <c r="C230" s="35" t="s">
        <v>48</v>
      </c>
      <c r="D230" s="35">
        <v>27500</v>
      </c>
      <c r="E230" s="35" t="s">
        <v>515</v>
      </c>
      <c r="F230" s="35" t="s">
        <v>315</v>
      </c>
      <c r="G230" s="35">
        <v>0</v>
      </c>
    </row>
    <row r="231" spans="2:7" x14ac:dyDescent="0.3">
      <c r="B231" s="35" t="s">
        <v>516</v>
      </c>
      <c r="C231" s="35" t="s">
        <v>48</v>
      </c>
      <c r="D231" s="35">
        <v>30000</v>
      </c>
      <c r="E231" s="35" t="s">
        <v>517</v>
      </c>
      <c r="F231" s="35" t="s">
        <v>315</v>
      </c>
      <c r="G231" s="35">
        <v>0</v>
      </c>
    </row>
    <row r="232" spans="2:7" x14ac:dyDescent="0.3">
      <c r="B232" s="35" t="s">
        <v>518</v>
      </c>
      <c r="C232" s="35" t="s">
        <v>48</v>
      </c>
      <c r="D232" s="35">
        <v>30000</v>
      </c>
      <c r="E232" s="35" t="s">
        <v>519</v>
      </c>
      <c r="F232" s="35" t="s">
        <v>315</v>
      </c>
      <c r="G232" s="35">
        <v>0</v>
      </c>
    </row>
    <row r="233" spans="2:7" x14ac:dyDescent="0.3">
      <c r="B233" s="35" t="s">
        <v>520</v>
      </c>
      <c r="C233" s="35" t="s">
        <v>48</v>
      </c>
      <c r="D233" s="35">
        <v>32500</v>
      </c>
      <c r="E233" s="35" t="s">
        <v>521</v>
      </c>
      <c r="F233" s="35" t="s">
        <v>315</v>
      </c>
      <c r="G233" s="35">
        <v>0</v>
      </c>
    </row>
    <row r="234" spans="2:7" x14ac:dyDescent="0.3">
      <c r="B234" s="35" t="s">
        <v>522</v>
      </c>
      <c r="C234" s="35" t="s">
        <v>48</v>
      </c>
      <c r="D234" s="35">
        <v>55000</v>
      </c>
      <c r="E234" s="35" t="s">
        <v>523</v>
      </c>
      <c r="F234" s="35" t="s">
        <v>315</v>
      </c>
      <c r="G234" s="35">
        <v>0</v>
      </c>
    </row>
    <row r="235" spans="2:7" x14ac:dyDescent="0.3">
      <c r="B235" s="35" t="s">
        <v>524</v>
      </c>
      <c r="C235" s="35" t="s">
        <v>347</v>
      </c>
      <c r="D235" s="35">
        <v>0</v>
      </c>
      <c r="E235" s="35" t="s">
        <v>525</v>
      </c>
      <c r="F235" s="35" t="s">
        <v>315</v>
      </c>
      <c r="G235" s="35">
        <v>0</v>
      </c>
    </row>
    <row r="236" spans="2:7" x14ac:dyDescent="0.3">
      <c r="B236" s="35" t="s">
        <v>526</v>
      </c>
      <c r="C236" s="35" t="s">
        <v>351</v>
      </c>
      <c r="D236" s="35">
        <v>0</v>
      </c>
      <c r="E236" s="35" t="s">
        <v>527</v>
      </c>
      <c r="F236" s="35" t="s">
        <v>315</v>
      </c>
      <c r="G236" s="35">
        <v>0</v>
      </c>
    </row>
    <row r="237" spans="2:7" x14ac:dyDescent="0.3">
      <c r="B237" s="35" t="s">
        <v>528</v>
      </c>
      <c r="C237" s="35" t="s">
        <v>354</v>
      </c>
      <c r="D237" s="35">
        <v>0</v>
      </c>
      <c r="E237" s="35" t="s">
        <v>529</v>
      </c>
      <c r="F237" s="35" t="s">
        <v>315</v>
      </c>
      <c r="G237" s="35">
        <v>0</v>
      </c>
    </row>
    <row r="238" spans="2:7" x14ac:dyDescent="0.3">
      <c r="B238" s="35" t="s">
        <v>530</v>
      </c>
      <c r="C238" s="35" t="s">
        <v>347</v>
      </c>
      <c r="D238" s="35">
        <v>0</v>
      </c>
      <c r="E238" s="35" t="s">
        <v>531</v>
      </c>
      <c r="F238" s="35" t="s">
        <v>315</v>
      </c>
      <c r="G238" s="35">
        <v>0</v>
      </c>
    </row>
    <row r="239" spans="2:7" x14ac:dyDescent="0.3">
      <c r="B239" s="35" t="s">
        <v>532</v>
      </c>
      <c r="C239" s="35" t="s">
        <v>351</v>
      </c>
      <c r="D239" s="35">
        <v>0</v>
      </c>
      <c r="E239" s="35" t="s">
        <v>533</v>
      </c>
      <c r="F239" s="35" t="s">
        <v>315</v>
      </c>
      <c r="G239" s="35">
        <v>0</v>
      </c>
    </row>
    <row r="240" spans="2:7" x14ac:dyDescent="0.3">
      <c r="B240" s="35" t="s">
        <v>534</v>
      </c>
      <c r="C240" s="35" t="s">
        <v>354</v>
      </c>
      <c r="D240" s="35">
        <v>0</v>
      </c>
      <c r="E240" s="35" t="s">
        <v>535</v>
      </c>
      <c r="F240" s="35" t="s">
        <v>315</v>
      </c>
      <c r="G240" s="35">
        <v>0</v>
      </c>
    </row>
    <row r="241" spans="2:7" x14ac:dyDescent="0.3">
      <c r="B241" s="35" t="s">
        <v>536</v>
      </c>
      <c r="C241" s="35" t="s">
        <v>347</v>
      </c>
      <c r="D241" s="35">
        <v>0</v>
      </c>
      <c r="E241" s="35" t="s">
        <v>537</v>
      </c>
      <c r="F241" s="35" t="s">
        <v>315</v>
      </c>
      <c r="G241" s="35">
        <v>0</v>
      </c>
    </row>
    <row r="242" spans="2:7" x14ac:dyDescent="0.3">
      <c r="B242" s="35" t="s">
        <v>538</v>
      </c>
      <c r="C242" s="35" t="s">
        <v>351</v>
      </c>
      <c r="D242" s="35">
        <v>0</v>
      </c>
      <c r="E242" s="35" t="s">
        <v>539</v>
      </c>
      <c r="F242" s="35" t="s">
        <v>315</v>
      </c>
      <c r="G242" s="35">
        <v>0</v>
      </c>
    </row>
    <row r="243" spans="2:7" x14ac:dyDescent="0.3">
      <c r="B243" s="35" t="s">
        <v>540</v>
      </c>
      <c r="C243" s="35" t="s">
        <v>354</v>
      </c>
      <c r="D243" s="35">
        <v>12500</v>
      </c>
      <c r="E243" s="35" t="s">
        <v>541</v>
      </c>
      <c r="F243" s="35" t="s">
        <v>315</v>
      </c>
      <c r="G243" s="35">
        <v>0</v>
      </c>
    </row>
    <row r="244" spans="2:7" x14ac:dyDescent="0.3">
      <c r="B244" s="35" t="s">
        <v>542</v>
      </c>
      <c r="C244" s="35" t="s">
        <v>347</v>
      </c>
      <c r="D244" s="35">
        <v>0</v>
      </c>
      <c r="E244" s="35" t="s">
        <v>543</v>
      </c>
      <c r="F244" s="35" t="s">
        <v>315</v>
      </c>
      <c r="G244" s="35">
        <v>0</v>
      </c>
    </row>
    <row r="245" spans="2:7" x14ac:dyDescent="0.3">
      <c r="B245" s="35" t="s">
        <v>544</v>
      </c>
      <c r="C245" s="35" t="s">
        <v>351</v>
      </c>
      <c r="D245" s="35">
        <v>0</v>
      </c>
      <c r="E245" s="35" t="s">
        <v>545</v>
      </c>
      <c r="F245" s="35" t="s">
        <v>315</v>
      </c>
      <c r="G245" s="35">
        <v>0</v>
      </c>
    </row>
    <row r="246" spans="2:7" x14ac:dyDescent="0.3">
      <c r="B246" s="35" t="s">
        <v>625</v>
      </c>
      <c r="C246" s="35" t="s">
        <v>354</v>
      </c>
      <c r="D246" s="35">
        <v>0</v>
      </c>
      <c r="E246" s="35" t="s">
        <v>626</v>
      </c>
      <c r="F246" s="35" t="s">
        <v>315</v>
      </c>
      <c r="G246" s="35">
        <v>0</v>
      </c>
    </row>
    <row r="247" spans="2:7" x14ac:dyDescent="0.3">
      <c r="B247" s="35" t="s">
        <v>389</v>
      </c>
      <c r="C247" s="35" t="s">
        <v>387</v>
      </c>
      <c r="D247" s="35">
        <v>50000</v>
      </c>
      <c r="E247" s="35" t="s">
        <v>391</v>
      </c>
      <c r="F247" s="35" t="s">
        <v>315</v>
      </c>
      <c r="G247" s="35">
        <v>0</v>
      </c>
    </row>
    <row r="248" spans="2:7" x14ac:dyDescent="0.3">
      <c r="B248" s="35" t="s">
        <v>392</v>
      </c>
      <c r="C248" s="35" t="s">
        <v>390</v>
      </c>
      <c r="D248" s="35">
        <v>47500</v>
      </c>
      <c r="E248" s="35" t="s">
        <v>394</v>
      </c>
      <c r="F248" s="35" t="s">
        <v>315</v>
      </c>
      <c r="G248" s="35">
        <v>0</v>
      </c>
    </row>
    <row r="249" spans="2:7" x14ac:dyDescent="0.3">
      <c r="B249" s="35" t="s">
        <v>395</v>
      </c>
      <c r="C249" s="35" t="s">
        <v>393</v>
      </c>
      <c r="D249" s="35">
        <v>47500</v>
      </c>
      <c r="E249" s="35" t="s">
        <v>396</v>
      </c>
      <c r="F249" s="35" t="s">
        <v>315</v>
      </c>
      <c r="G249" s="35">
        <v>0</v>
      </c>
    </row>
    <row r="250" spans="2:7" x14ac:dyDescent="0.3">
      <c r="B250" s="35" t="s">
        <v>397</v>
      </c>
      <c r="C250" s="35" t="s">
        <v>387</v>
      </c>
      <c r="D250" s="35">
        <v>37500</v>
      </c>
      <c r="E250" s="35" t="s">
        <v>398</v>
      </c>
      <c r="F250" s="35" t="s">
        <v>315</v>
      </c>
      <c r="G250" s="35">
        <v>0</v>
      </c>
    </row>
    <row r="251" spans="2:7" x14ac:dyDescent="0.3">
      <c r="B251" s="35" t="s">
        <v>399</v>
      </c>
      <c r="C251" s="35" t="s">
        <v>390</v>
      </c>
      <c r="D251" s="35">
        <v>30000</v>
      </c>
      <c r="E251" s="35" t="s">
        <v>400</v>
      </c>
      <c r="F251" s="35" t="s">
        <v>315</v>
      </c>
      <c r="G251" s="35">
        <v>0</v>
      </c>
    </row>
    <row r="252" spans="2:7" x14ac:dyDescent="0.3">
      <c r="B252" s="35" t="s">
        <v>401</v>
      </c>
      <c r="C252" s="35" t="s">
        <v>393</v>
      </c>
      <c r="D252" s="35">
        <v>30000</v>
      </c>
      <c r="E252" s="35" t="s">
        <v>402</v>
      </c>
      <c r="F252" s="35" t="s">
        <v>315</v>
      </c>
      <c r="G252" s="35">
        <v>0</v>
      </c>
    </row>
    <row r="253" spans="2:7" x14ac:dyDescent="0.3">
      <c r="B253" s="35" t="s">
        <v>403</v>
      </c>
      <c r="C253" s="35" t="s">
        <v>387</v>
      </c>
      <c r="D253" s="35">
        <v>20000</v>
      </c>
      <c r="E253" s="35" t="s">
        <v>404</v>
      </c>
      <c r="F253" s="35" t="s">
        <v>349</v>
      </c>
      <c r="G253" s="35">
        <v>80000</v>
      </c>
    </row>
    <row r="254" spans="2:7" x14ac:dyDescent="0.3">
      <c r="B254" s="35" t="s">
        <v>405</v>
      </c>
      <c r="C254" s="35" t="s">
        <v>390</v>
      </c>
      <c r="D254" s="35">
        <v>52500</v>
      </c>
      <c r="E254" s="35" t="s">
        <v>406</v>
      </c>
      <c r="F254" s="35" t="s">
        <v>349</v>
      </c>
      <c r="G254" s="35">
        <v>45000</v>
      </c>
    </row>
    <row r="255" spans="2:7" x14ac:dyDescent="0.3">
      <c r="B255" s="35" t="s">
        <v>407</v>
      </c>
      <c r="C255" s="35" t="s">
        <v>393</v>
      </c>
      <c r="D255" s="35">
        <v>32500</v>
      </c>
      <c r="E255" s="35" t="s">
        <v>408</v>
      </c>
      <c r="F255" s="35" t="s">
        <v>349</v>
      </c>
      <c r="G255" s="35">
        <v>67500</v>
      </c>
    </row>
    <row r="256" spans="2:7" x14ac:dyDescent="0.3">
      <c r="B256" s="35" t="s">
        <v>409</v>
      </c>
      <c r="C256" s="35" t="s">
        <v>387</v>
      </c>
      <c r="D256" s="35">
        <v>45000</v>
      </c>
      <c r="E256" s="35" t="s">
        <v>410</v>
      </c>
      <c r="F256" s="35" t="s">
        <v>315</v>
      </c>
      <c r="G256" s="35">
        <v>0</v>
      </c>
    </row>
    <row r="257" spans="2:7" x14ac:dyDescent="0.3">
      <c r="B257" s="35" t="s">
        <v>411</v>
      </c>
      <c r="C257" s="35" t="s">
        <v>390</v>
      </c>
      <c r="D257" s="35">
        <v>7500</v>
      </c>
      <c r="E257" s="35" t="s">
        <v>412</v>
      </c>
      <c r="F257" s="35" t="s">
        <v>349</v>
      </c>
      <c r="G257" s="35">
        <v>32500</v>
      </c>
    </row>
    <row r="258" spans="2:7" x14ac:dyDescent="0.3">
      <c r="B258" s="35" t="s">
        <v>627</v>
      </c>
      <c r="C258" s="35" t="s">
        <v>393</v>
      </c>
      <c r="D258" s="35">
        <v>55000</v>
      </c>
      <c r="E258" s="35" t="s">
        <v>628</v>
      </c>
      <c r="F258" s="35" t="s">
        <v>315</v>
      </c>
      <c r="G258" s="35">
        <v>0</v>
      </c>
    </row>
    <row r="259" spans="2:7" x14ac:dyDescent="0.3">
      <c r="B259" s="35" t="s">
        <v>547</v>
      </c>
      <c r="C259" s="35" t="s">
        <v>546</v>
      </c>
      <c r="D259" s="35">
        <v>0</v>
      </c>
      <c r="E259" s="35" t="s">
        <v>548</v>
      </c>
      <c r="F259" s="35" t="s">
        <v>349</v>
      </c>
      <c r="G259" s="35">
        <v>32500</v>
      </c>
    </row>
    <row r="260" spans="2:7" x14ac:dyDescent="0.3">
      <c r="B260" s="35" t="s">
        <v>549</v>
      </c>
      <c r="C260" s="35" t="s">
        <v>546</v>
      </c>
      <c r="D260" s="35">
        <v>0</v>
      </c>
      <c r="E260" s="35" t="s">
        <v>550</v>
      </c>
      <c r="F260" s="35" t="s">
        <v>349</v>
      </c>
      <c r="G260" s="35">
        <v>32500</v>
      </c>
    </row>
    <row r="261" spans="2:7" x14ac:dyDescent="0.3">
      <c r="B261" s="35" t="s">
        <v>551</v>
      </c>
      <c r="C261" s="35" t="s">
        <v>546</v>
      </c>
      <c r="D261" s="35">
        <v>0</v>
      </c>
      <c r="E261" s="35" t="s">
        <v>552</v>
      </c>
      <c r="F261" s="35" t="s">
        <v>349</v>
      </c>
      <c r="G261" s="35">
        <v>32500</v>
      </c>
    </row>
    <row r="262" spans="2:7" x14ac:dyDescent="0.3">
      <c r="B262" s="35" t="s">
        <v>553</v>
      </c>
      <c r="C262" s="35" t="s">
        <v>546</v>
      </c>
      <c r="D262" s="35">
        <v>0</v>
      </c>
      <c r="E262" s="35" t="s">
        <v>554</v>
      </c>
      <c r="F262" s="35" t="s">
        <v>349</v>
      </c>
      <c r="G262" s="35">
        <v>25000</v>
      </c>
    </row>
    <row r="263" spans="2:7" x14ac:dyDescent="0.3">
      <c r="B263" s="35" t="s">
        <v>555</v>
      </c>
      <c r="C263" s="35" t="s">
        <v>546</v>
      </c>
      <c r="D263" s="35">
        <v>0</v>
      </c>
      <c r="E263" s="35" t="s">
        <v>556</v>
      </c>
      <c r="F263" s="35" t="s">
        <v>349</v>
      </c>
      <c r="G263" s="35">
        <v>25000</v>
      </c>
    </row>
    <row r="264" spans="2:7" x14ac:dyDescent="0.3">
      <c r="B264" s="35" t="s">
        <v>557</v>
      </c>
      <c r="C264" s="35" t="s">
        <v>546</v>
      </c>
      <c r="D264" s="35">
        <v>0</v>
      </c>
      <c r="E264" s="35" t="s">
        <v>558</v>
      </c>
      <c r="F264" s="35" t="s">
        <v>349</v>
      </c>
      <c r="G264" s="35">
        <v>25000</v>
      </c>
    </row>
    <row r="265" spans="2:7" x14ac:dyDescent="0.3">
      <c r="B265" s="35" t="s">
        <v>559</v>
      </c>
      <c r="C265" s="35" t="s">
        <v>546</v>
      </c>
      <c r="D265" s="35">
        <v>0</v>
      </c>
      <c r="E265" s="35" t="s">
        <v>560</v>
      </c>
      <c r="F265" s="35" t="s">
        <v>349</v>
      </c>
      <c r="G265" s="35">
        <v>20000</v>
      </c>
    </row>
    <row r="266" spans="2:7" x14ac:dyDescent="0.3">
      <c r="B266" s="35" t="s">
        <v>561</v>
      </c>
      <c r="C266" s="35" t="s">
        <v>546</v>
      </c>
      <c r="D266" s="35">
        <v>0</v>
      </c>
      <c r="E266" s="35" t="s">
        <v>562</v>
      </c>
      <c r="F266" s="35" t="s">
        <v>349</v>
      </c>
      <c r="G266" s="35">
        <v>20000</v>
      </c>
    </row>
    <row r="267" spans="2:7" x14ac:dyDescent="0.3">
      <c r="B267" s="35" t="s">
        <v>563</v>
      </c>
      <c r="C267" s="35" t="s">
        <v>546</v>
      </c>
      <c r="D267" s="35">
        <v>12500</v>
      </c>
      <c r="E267" s="35" t="s">
        <v>564</v>
      </c>
      <c r="F267" s="35" t="s">
        <v>349</v>
      </c>
      <c r="G267" s="35">
        <v>7500</v>
      </c>
    </row>
    <row r="268" spans="2:7" x14ac:dyDescent="0.3">
      <c r="B268" s="35" t="s">
        <v>565</v>
      </c>
      <c r="C268" s="35" t="s">
        <v>546</v>
      </c>
      <c r="D268" s="35">
        <v>0</v>
      </c>
      <c r="E268" s="35" t="s">
        <v>566</v>
      </c>
      <c r="F268" s="35" t="s">
        <v>349</v>
      </c>
      <c r="G268" s="35">
        <v>32500</v>
      </c>
    </row>
    <row r="269" spans="2:7" x14ac:dyDescent="0.3">
      <c r="B269" s="35" t="s">
        <v>567</v>
      </c>
      <c r="C269" s="35" t="s">
        <v>546</v>
      </c>
      <c r="D269" s="35">
        <v>0</v>
      </c>
      <c r="E269" s="35" t="s">
        <v>568</v>
      </c>
      <c r="F269" s="35" t="s">
        <v>349</v>
      </c>
      <c r="G269" s="35">
        <v>32500</v>
      </c>
    </row>
    <row r="270" spans="2:7" ht="15" thickBot="1" x14ac:dyDescent="0.35">
      <c r="B270" s="33" t="s">
        <v>629</v>
      </c>
      <c r="C270" s="33" t="s">
        <v>546</v>
      </c>
      <c r="D270" s="33">
        <v>0</v>
      </c>
      <c r="E270" s="33" t="s">
        <v>630</v>
      </c>
      <c r="F270" s="33" t="s">
        <v>349</v>
      </c>
      <c r="G270" s="33">
        <v>32500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8C6B-0AC9-415D-B2F1-4348166AC6D5}">
  <dimension ref="A1:H258"/>
  <sheetViews>
    <sheetView showGridLines="0" tabSelected="1" workbookViewId="0">
      <selection activeCell="P29" sqref="P29"/>
    </sheetView>
  </sheetViews>
  <sheetFormatPr defaultRowHeight="14.4" x14ac:dyDescent="0.3"/>
  <cols>
    <col min="1" max="1" width="2.33203125" customWidth="1"/>
    <col min="2" max="2" width="7.6640625" bestFit="1" customWidth="1"/>
    <col min="3" max="3" width="39.109375" bestFit="1" customWidth="1"/>
    <col min="4" max="4" width="6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19" t="s">
        <v>413</v>
      </c>
    </row>
    <row r="2" spans="1:8" x14ac:dyDescent="0.3">
      <c r="A2" s="19" t="s">
        <v>594</v>
      </c>
    </row>
    <row r="3" spans="1:8" x14ac:dyDescent="0.3">
      <c r="A3" s="19" t="s">
        <v>631</v>
      </c>
    </row>
    <row r="6" spans="1:8" ht="15" thickBot="1" x14ac:dyDescent="0.35">
      <c r="A6" t="s">
        <v>83</v>
      </c>
    </row>
    <row r="7" spans="1:8" x14ac:dyDescent="0.3">
      <c r="B7" s="37"/>
      <c r="C7" s="37"/>
      <c r="D7" s="37" t="s">
        <v>414</v>
      </c>
      <c r="E7" s="37" t="s">
        <v>415</v>
      </c>
      <c r="F7" s="37" t="s">
        <v>22</v>
      </c>
      <c r="G7" s="37" t="s">
        <v>416</v>
      </c>
      <c r="H7" s="37" t="s">
        <v>416</v>
      </c>
    </row>
    <row r="8" spans="1:8" ht="15" thickBot="1" x14ac:dyDescent="0.35">
      <c r="B8" s="38" t="s">
        <v>77</v>
      </c>
      <c r="C8" s="38" t="s">
        <v>78</v>
      </c>
      <c r="D8" s="38" t="s">
        <v>417</v>
      </c>
      <c r="E8" s="38" t="s">
        <v>418</v>
      </c>
      <c r="F8" s="38" t="s">
        <v>419</v>
      </c>
      <c r="G8" s="38" t="s">
        <v>420</v>
      </c>
      <c r="H8" s="38" t="s">
        <v>421</v>
      </c>
    </row>
    <row r="9" spans="1:8" x14ac:dyDescent="0.3">
      <c r="B9" s="35" t="s">
        <v>85</v>
      </c>
      <c r="C9" s="35" t="s">
        <v>86</v>
      </c>
      <c r="D9" s="35">
        <v>0</v>
      </c>
      <c r="E9" s="35">
        <v>4.2000000000000064</v>
      </c>
      <c r="F9" s="35">
        <v>3.3</v>
      </c>
      <c r="G9" s="35">
        <v>1E+30</v>
      </c>
      <c r="H9" s="35">
        <v>4.2000000000000064</v>
      </c>
    </row>
    <row r="10" spans="1:8" x14ac:dyDescent="0.3">
      <c r="B10" s="35" t="s">
        <v>88</v>
      </c>
      <c r="C10" s="35" t="s">
        <v>89</v>
      </c>
      <c r="D10" s="35">
        <v>0</v>
      </c>
      <c r="E10" s="35">
        <v>20.5</v>
      </c>
      <c r="F10" s="35">
        <v>3</v>
      </c>
      <c r="G10" s="35">
        <v>1E+30</v>
      </c>
      <c r="H10" s="35">
        <v>20.5</v>
      </c>
    </row>
    <row r="11" spans="1:8" x14ac:dyDescent="0.3">
      <c r="B11" s="35" t="s">
        <v>90</v>
      </c>
      <c r="C11" s="35" t="s">
        <v>91</v>
      </c>
      <c r="D11" s="35">
        <v>0</v>
      </c>
      <c r="E11" s="35">
        <v>5.5</v>
      </c>
      <c r="F11" s="35">
        <v>1.7500000000000009</v>
      </c>
      <c r="G11" s="35">
        <v>1E+30</v>
      </c>
      <c r="H11" s="35">
        <v>5.5</v>
      </c>
    </row>
    <row r="12" spans="1:8" x14ac:dyDescent="0.3">
      <c r="B12" s="35" t="s">
        <v>92</v>
      </c>
      <c r="C12" s="35" t="s">
        <v>93</v>
      </c>
      <c r="D12" s="35">
        <v>0</v>
      </c>
      <c r="E12" s="35">
        <v>21.549999999999997</v>
      </c>
      <c r="F12" s="35">
        <v>1.3000000000000007</v>
      </c>
      <c r="G12" s="35">
        <v>1E+30</v>
      </c>
      <c r="H12" s="35">
        <v>21.549999999999997</v>
      </c>
    </row>
    <row r="13" spans="1:8" x14ac:dyDescent="0.3">
      <c r="B13" s="35" t="s">
        <v>94</v>
      </c>
      <c r="C13" s="35" t="s">
        <v>95</v>
      </c>
      <c r="D13" s="35">
        <v>0</v>
      </c>
      <c r="E13" s="35">
        <v>5.6199999999999903</v>
      </c>
      <c r="F13" s="35">
        <v>4</v>
      </c>
      <c r="G13" s="35">
        <v>1E+30</v>
      </c>
      <c r="H13" s="35">
        <v>5.6199999999999903</v>
      </c>
    </row>
    <row r="14" spans="1:8" x14ac:dyDescent="0.3">
      <c r="B14" s="35" t="s">
        <v>96</v>
      </c>
      <c r="C14" s="35" t="s">
        <v>97</v>
      </c>
      <c r="D14" s="35">
        <v>0</v>
      </c>
      <c r="E14" s="35">
        <v>21.5</v>
      </c>
      <c r="F14" s="35">
        <v>4</v>
      </c>
      <c r="G14" s="35">
        <v>1E+30</v>
      </c>
      <c r="H14" s="35">
        <v>21.5</v>
      </c>
    </row>
    <row r="15" spans="1:8" x14ac:dyDescent="0.3">
      <c r="B15" s="35" t="s">
        <v>98</v>
      </c>
      <c r="C15" s="35" t="s">
        <v>99</v>
      </c>
      <c r="D15" s="35">
        <v>0</v>
      </c>
      <c r="E15" s="35">
        <v>8.1000000000000227</v>
      </c>
      <c r="F15" s="35">
        <v>3.5</v>
      </c>
      <c r="G15" s="35">
        <v>1E+30</v>
      </c>
      <c r="H15" s="35">
        <v>8.1000000000000227</v>
      </c>
    </row>
    <row r="16" spans="1:8" x14ac:dyDescent="0.3">
      <c r="B16" s="35" t="s">
        <v>100</v>
      </c>
      <c r="C16" s="35" t="s">
        <v>101</v>
      </c>
      <c r="D16" s="35">
        <v>0</v>
      </c>
      <c r="E16" s="35">
        <v>6.0999999999999943</v>
      </c>
      <c r="F16" s="35">
        <v>3.8000000000000007</v>
      </c>
      <c r="G16" s="35">
        <v>1E+30</v>
      </c>
      <c r="H16" s="35">
        <v>6.0999999999999943</v>
      </c>
    </row>
    <row r="17" spans="2:8" x14ac:dyDescent="0.3">
      <c r="B17" s="35" t="s">
        <v>102</v>
      </c>
      <c r="C17" s="35" t="s">
        <v>103</v>
      </c>
      <c r="D17" s="35">
        <v>0</v>
      </c>
      <c r="E17" s="35">
        <v>4.4500000000000028</v>
      </c>
      <c r="F17" s="35">
        <v>2.8000000000000007</v>
      </c>
      <c r="G17" s="35">
        <v>1E+30</v>
      </c>
      <c r="H17" s="35">
        <v>4.4500000000000028</v>
      </c>
    </row>
    <row r="18" spans="2:8" x14ac:dyDescent="0.3">
      <c r="B18" s="35" t="s">
        <v>104</v>
      </c>
      <c r="C18" s="35" t="s">
        <v>105</v>
      </c>
      <c r="D18" s="35">
        <v>0</v>
      </c>
      <c r="E18" s="35">
        <v>8.6500000000001762</v>
      </c>
      <c r="F18" s="35">
        <v>3</v>
      </c>
      <c r="G18" s="35">
        <v>1E+30</v>
      </c>
      <c r="H18" s="35">
        <v>8.6500000000001762</v>
      </c>
    </row>
    <row r="19" spans="2:8" x14ac:dyDescent="0.3">
      <c r="B19" s="35" t="s">
        <v>106</v>
      </c>
      <c r="C19" s="35" t="s">
        <v>107</v>
      </c>
      <c r="D19" s="35">
        <v>0</v>
      </c>
      <c r="E19" s="35">
        <v>3.8499999999999943</v>
      </c>
      <c r="F19" s="35">
        <v>1.5</v>
      </c>
      <c r="G19" s="35">
        <v>1E+30</v>
      </c>
      <c r="H19" s="35">
        <v>3.8499999999999943</v>
      </c>
    </row>
    <row r="20" spans="2:8" x14ac:dyDescent="0.3">
      <c r="B20" s="35" t="s">
        <v>108</v>
      </c>
      <c r="C20" s="35" t="s">
        <v>109</v>
      </c>
      <c r="D20" s="35">
        <v>0</v>
      </c>
      <c r="E20" s="35">
        <v>12.149999999999991</v>
      </c>
      <c r="F20" s="35">
        <v>1.2999999999999972</v>
      </c>
      <c r="G20" s="35">
        <v>1E+30</v>
      </c>
      <c r="H20" s="35">
        <v>12.149999999999991</v>
      </c>
    </row>
    <row r="21" spans="2:8" x14ac:dyDescent="0.3">
      <c r="B21" s="35" t="s">
        <v>110</v>
      </c>
      <c r="C21" s="35" t="s">
        <v>86</v>
      </c>
      <c r="D21" s="35">
        <v>0</v>
      </c>
      <c r="E21" s="35">
        <v>2.1000000000000085</v>
      </c>
      <c r="F21" s="35">
        <v>3.7000000000000028</v>
      </c>
      <c r="G21" s="35">
        <v>1E+30</v>
      </c>
      <c r="H21" s="35">
        <v>2.1000000000000085</v>
      </c>
    </row>
    <row r="22" spans="2:8" x14ac:dyDescent="0.3">
      <c r="B22" s="35" t="s">
        <v>111</v>
      </c>
      <c r="C22" s="35" t="s">
        <v>89</v>
      </c>
      <c r="D22" s="35">
        <v>0</v>
      </c>
      <c r="E22" s="35">
        <v>18.849999999999994</v>
      </c>
      <c r="F22" s="35">
        <v>3.8499999999999943</v>
      </c>
      <c r="G22" s="35">
        <v>1E+30</v>
      </c>
      <c r="H22" s="35">
        <v>18.849999999999994</v>
      </c>
    </row>
    <row r="23" spans="2:8" x14ac:dyDescent="0.3">
      <c r="B23" s="35" t="s">
        <v>112</v>
      </c>
      <c r="C23" s="35" t="s">
        <v>91</v>
      </c>
      <c r="D23" s="35">
        <v>0</v>
      </c>
      <c r="E23" s="35">
        <v>6.25</v>
      </c>
      <c r="F23" s="35">
        <v>5</v>
      </c>
      <c r="G23" s="35">
        <v>1E+30</v>
      </c>
      <c r="H23" s="35">
        <v>6.25</v>
      </c>
    </row>
    <row r="24" spans="2:8" x14ac:dyDescent="0.3">
      <c r="B24" s="35" t="s">
        <v>113</v>
      </c>
      <c r="C24" s="35" t="s">
        <v>93</v>
      </c>
      <c r="D24" s="35">
        <v>0</v>
      </c>
      <c r="E24" s="35">
        <v>24.950000000000003</v>
      </c>
      <c r="F24" s="35">
        <v>7.2000000000000028</v>
      </c>
      <c r="G24" s="35">
        <v>1E+30</v>
      </c>
      <c r="H24" s="35">
        <v>24.950000000000003</v>
      </c>
    </row>
    <row r="25" spans="2:8" x14ac:dyDescent="0.3">
      <c r="B25" s="35" t="s">
        <v>114</v>
      </c>
      <c r="C25" s="35" t="s">
        <v>95</v>
      </c>
      <c r="D25" s="35">
        <v>0</v>
      </c>
      <c r="E25" s="35">
        <v>2.9699999999999918</v>
      </c>
      <c r="F25" s="35">
        <v>4.6000000000000014</v>
      </c>
      <c r="G25" s="35">
        <v>1E+30</v>
      </c>
      <c r="H25" s="35">
        <v>2.9699999999999918</v>
      </c>
    </row>
    <row r="26" spans="2:8" x14ac:dyDescent="0.3">
      <c r="B26" s="35" t="s">
        <v>115</v>
      </c>
      <c r="C26" s="35" t="s">
        <v>97</v>
      </c>
      <c r="D26" s="35">
        <v>0</v>
      </c>
      <c r="E26" s="35">
        <v>19.149999999999999</v>
      </c>
      <c r="F26" s="35">
        <v>4.8999999999999986</v>
      </c>
      <c r="G26" s="35">
        <v>1E+30</v>
      </c>
      <c r="H26" s="35">
        <v>19.149999999999999</v>
      </c>
    </row>
    <row r="27" spans="2:8" x14ac:dyDescent="0.3">
      <c r="B27" s="35" t="s">
        <v>116</v>
      </c>
      <c r="C27" s="35" t="s">
        <v>99</v>
      </c>
      <c r="D27" s="35">
        <v>0</v>
      </c>
      <c r="E27" s="35">
        <v>6.3500000000000227</v>
      </c>
      <c r="F27" s="35">
        <v>5</v>
      </c>
      <c r="G27" s="35">
        <v>1E+30</v>
      </c>
      <c r="H27" s="35">
        <v>6.3500000000000227</v>
      </c>
    </row>
    <row r="28" spans="2:8" x14ac:dyDescent="0.3">
      <c r="B28" s="35" t="s">
        <v>117</v>
      </c>
      <c r="C28" s="35" t="s">
        <v>101</v>
      </c>
      <c r="D28" s="35">
        <v>0</v>
      </c>
      <c r="E28" s="35">
        <v>5</v>
      </c>
      <c r="F28" s="35">
        <v>5.9500000000000028</v>
      </c>
      <c r="G28" s="35">
        <v>1E+30</v>
      </c>
      <c r="H28" s="35">
        <v>5</v>
      </c>
    </row>
    <row r="29" spans="2:8" x14ac:dyDescent="0.3">
      <c r="B29" s="35" t="s">
        <v>118</v>
      </c>
      <c r="C29" s="35" t="s">
        <v>103</v>
      </c>
      <c r="D29" s="35">
        <v>0</v>
      </c>
      <c r="E29" s="35">
        <v>4.3500000000000085</v>
      </c>
      <c r="F29" s="35">
        <v>5.2000000000000028</v>
      </c>
      <c r="G29" s="35">
        <v>1E+30</v>
      </c>
      <c r="H29" s="35">
        <v>4.3500000000000085</v>
      </c>
    </row>
    <row r="30" spans="2:8" x14ac:dyDescent="0.3">
      <c r="B30" s="35" t="s">
        <v>119</v>
      </c>
      <c r="C30" s="35" t="s">
        <v>105</v>
      </c>
      <c r="D30" s="35">
        <v>0</v>
      </c>
      <c r="E30" s="35">
        <v>8.9500000000001734</v>
      </c>
      <c r="F30" s="35">
        <v>5.7999999999999972</v>
      </c>
      <c r="G30" s="35">
        <v>1E+30</v>
      </c>
      <c r="H30" s="35">
        <v>8.9500000000001734</v>
      </c>
    </row>
    <row r="31" spans="2:8" x14ac:dyDescent="0.3">
      <c r="B31" s="35" t="s">
        <v>120</v>
      </c>
      <c r="C31" s="35" t="s">
        <v>107</v>
      </c>
      <c r="D31" s="35">
        <v>0</v>
      </c>
      <c r="E31" s="35">
        <v>4.8499999999999943</v>
      </c>
      <c r="F31" s="35">
        <v>5</v>
      </c>
      <c r="G31" s="35">
        <v>1E+30</v>
      </c>
      <c r="H31" s="35">
        <v>4.8499999999999943</v>
      </c>
    </row>
    <row r="32" spans="2:8" x14ac:dyDescent="0.3">
      <c r="B32" s="35" t="s">
        <v>121</v>
      </c>
      <c r="C32" s="35" t="s">
        <v>109</v>
      </c>
      <c r="D32" s="35">
        <v>0</v>
      </c>
      <c r="E32" s="35">
        <v>15.349999999999994</v>
      </c>
      <c r="F32" s="35">
        <v>7</v>
      </c>
      <c r="G32" s="35">
        <v>1E+30</v>
      </c>
      <c r="H32" s="35">
        <v>15.349999999999994</v>
      </c>
    </row>
    <row r="33" spans="2:8" x14ac:dyDescent="0.3">
      <c r="B33" s="35" t="s">
        <v>122</v>
      </c>
      <c r="C33" s="35" t="s">
        <v>86</v>
      </c>
      <c r="D33" s="35">
        <v>0</v>
      </c>
      <c r="E33" s="35">
        <v>0</v>
      </c>
      <c r="F33" s="35">
        <v>2.3499999999999943</v>
      </c>
      <c r="G33" s="35">
        <v>4.9999999999982947E-2</v>
      </c>
      <c r="H33" s="35">
        <v>6.0999999999999943</v>
      </c>
    </row>
    <row r="34" spans="2:8" x14ac:dyDescent="0.3">
      <c r="B34" s="35" t="s">
        <v>123</v>
      </c>
      <c r="C34" s="35" t="s">
        <v>89</v>
      </c>
      <c r="D34" s="35">
        <v>0</v>
      </c>
      <c r="E34" s="35">
        <v>16.100000000000009</v>
      </c>
      <c r="F34" s="35">
        <v>1.8500000000000085</v>
      </c>
      <c r="G34" s="35">
        <v>1E+30</v>
      </c>
      <c r="H34" s="35">
        <v>16.100000000000009</v>
      </c>
    </row>
    <row r="35" spans="2:8" x14ac:dyDescent="0.3">
      <c r="B35" s="35" t="s">
        <v>124</v>
      </c>
      <c r="C35" s="35" t="s">
        <v>91</v>
      </c>
      <c r="D35" s="35">
        <v>0</v>
      </c>
      <c r="E35" s="35">
        <v>1.7000000000000028</v>
      </c>
      <c r="F35" s="35">
        <v>1.2000000000000028</v>
      </c>
      <c r="G35" s="35">
        <v>1E+30</v>
      </c>
      <c r="H35" s="35">
        <v>1.7000000000000028</v>
      </c>
    </row>
    <row r="36" spans="2:8" x14ac:dyDescent="0.3">
      <c r="B36" s="35" t="s">
        <v>125</v>
      </c>
      <c r="C36" s="35" t="s">
        <v>93</v>
      </c>
      <c r="D36" s="35">
        <v>0</v>
      </c>
      <c r="E36" s="35">
        <v>18.199999999999989</v>
      </c>
      <c r="F36" s="35">
        <v>1.1999999999999886</v>
      </c>
      <c r="G36" s="35">
        <v>1E+30</v>
      </c>
      <c r="H36" s="35">
        <v>18.199999999999989</v>
      </c>
    </row>
    <row r="37" spans="2:8" x14ac:dyDescent="0.3">
      <c r="B37" s="35" t="s">
        <v>126</v>
      </c>
      <c r="C37" s="35" t="s">
        <v>95</v>
      </c>
      <c r="D37" s="35">
        <v>0</v>
      </c>
      <c r="E37" s="35">
        <v>1.9999999999996021E-2</v>
      </c>
      <c r="F37" s="35">
        <v>1.9000000000000057</v>
      </c>
      <c r="G37" s="35">
        <v>1E+30</v>
      </c>
      <c r="H37" s="35">
        <v>1.9999999999996021E-2</v>
      </c>
    </row>
    <row r="38" spans="2:8" x14ac:dyDescent="0.3">
      <c r="B38" s="35" t="s">
        <v>127</v>
      </c>
      <c r="C38" s="35" t="s">
        <v>97</v>
      </c>
      <c r="D38" s="35">
        <v>0</v>
      </c>
      <c r="E38" s="35">
        <v>15.599999999999994</v>
      </c>
      <c r="F38" s="35">
        <v>1.5999999999999943</v>
      </c>
      <c r="G38" s="35">
        <v>1E+30</v>
      </c>
      <c r="H38" s="35">
        <v>15.599999999999994</v>
      </c>
    </row>
    <row r="39" spans="2:8" x14ac:dyDescent="0.3">
      <c r="B39" s="35" t="s">
        <v>128</v>
      </c>
      <c r="C39" s="35" t="s">
        <v>99</v>
      </c>
      <c r="D39" s="35">
        <v>0</v>
      </c>
      <c r="E39" s="35">
        <v>2.3000000000000256</v>
      </c>
      <c r="F39" s="35">
        <v>1.2000000000000028</v>
      </c>
      <c r="G39" s="35">
        <v>1E+30</v>
      </c>
      <c r="H39" s="35">
        <v>2.3000000000000256</v>
      </c>
    </row>
    <row r="40" spans="2:8" x14ac:dyDescent="0.3">
      <c r="B40" s="35" t="s">
        <v>129</v>
      </c>
      <c r="C40" s="35" t="s">
        <v>101</v>
      </c>
      <c r="D40" s="35">
        <v>0</v>
      </c>
      <c r="E40" s="35">
        <v>0</v>
      </c>
      <c r="F40" s="35">
        <v>1.2000000000000028</v>
      </c>
      <c r="G40" s="35">
        <v>0.64999999999999147</v>
      </c>
      <c r="H40" s="35">
        <v>18.200000000000003</v>
      </c>
    </row>
    <row r="41" spans="2:8" x14ac:dyDescent="0.3">
      <c r="B41" s="35" t="s">
        <v>130</v>
      </c>
      <c r="C41" s="35" t="s">
        <v>103</v>
      </c>
      <c r="D41" s="35">
        <v>0</v>
      </c>
      <c r="E41" s="35">
        <v>0</v>
      </c>
      <c r="F41" s="35">
        <v>2.0999999999999943</v>
      </c>
      <c r="G41" s="35">
        <v>1.0500000000000398</v>
      </c>
      <c r="H41" s="35">
        <v>6.8499999999999943</v>
      </c>
    </row>
    <row r="42" spans="2:8" x14ac:dyDescent="0.3">
      <c r="B42" s="35" t="s">
        <v>131</v>
      </c>
      <c r="C42" s="35" t="s">
        <v>105</v>
      </c>
      <c r="D42" s="35">
        <v>0</v>
      </c>
      <c r="E42" s="35">
        <v>3.7000000000001734</v>
      </c>
      <c r="F42" s="35">
        <v>1.7999999999999972</v>
      </c>
      <c r="G42" s="35">
        <v>1E+30</v>
      </c>
      <c r="H42" s="35">
        <v>3.7000000000001734</v>
      </c>
    </row>
    <row r="43" spans="2:8" x14ac:dyDescent="0.3">
      <c r="B43" s="35" t="s">
        <v>132</v>
      </c>
      <c r="C43" s="35" t="s">
        <v>107</v>
      </c>
      <c r="D43" s="35">
        <v>12500</v>
      </c>
      <c r="E43" s="35">
        <v>0</v>
      </c>
      <c r="F43" s="35">
        <v>1.4000000000000057</v>
      </c>
      <c r="G43" s="35">
        <v>0.80000000000003979</v>
      </c>
      <c r="H43" s="35">
        <v>1.6500000000000057</v>
      </c>
    </row>
    <row r="44" spans="2:8" x14ac:dyDescent="0.3">
      <c r="B44" s="35" t="s">
        <v>133</v>
      </c>
      <c r="C44" s="35" t="s">
        <v>109</v>
      </c>
      <c r="D44" s="35">
        <v>0</v>
      </c>
      <c r="E44" s="35">
        <v>8.5</v>
      </c>
      <c r="F44" s="35">
        <v>1.4000000000000057</v>
      </c>
      <c r="G44" s="35">
        <v>1E+30</v>
      </c>
      <c r="H44" s="35">
        <v>8.5</v>
      </c>
    </row>
    <row r="45" spans="2:8" x14ac:dyDescent="0.3">
      <c r="B45" s="35" t="s">
        <v>134</v>
      </c>
      <c r="C45" s="35" t="s">
        <v>86</v>
      </c>
      <c r="D45" s="35">
        <v>0</v>
      </c>
      <c r="E45" s="35">
        <v>4.9999999999982947E-2</v>
      </c>
      <c r="F45" s="35">
        <v>2</v>
      </c>
      <c r="G45" s="35">
        <v>1E+30</v>
      </c>
      <c r="H45" s="35">
        <v>4.9999999999982947E-2</v>
      </c>
    </row>
    <row r="46" spans="2:8" x14ac:dyDescent="0.3">
      <c r="B46" s="35" t="s">
        <v>135</v>
      </c>
      <c r="C46" s="35" t="s">
        <v>89</v>
      </c>
      <c r="D46" s="35">
        <v>0</v>
      </c>
      <c r="E46" s="35">
        <v>17.249999999999972</v>
      </c>
      <c r="F46" s="35">
        <v>2.5999999999999943</v>
      </c>
      <c r="G46" s="35">
        <v>1E+30</v>
      </c>
      <c r="H46" s="35">
        <v>17.249999999999972</v>
      </c>
    </row>
    <row r="47" spans="2:8" x14ac:dyDescent="0.3">
      <c r="B47" s="35" t="s">
        <v>136</v>
      </c>
      <c r="C47" s="35" t="s">
        <v>91</v>
      </c>
      <c r="D47" s="35">
        <v>0</v>
      </c>
      <c r="E47" s="35">
        <v>2.7499999999999858</v>
      </c>
      <c r="F47" s="35">
        <v>1.8500000000000085</v>
      </c>
      <c r="G47" s="35">
        <v>1E+30</v>
      </c>
      <c r="H47" s="35">
        <v>2.7499999999999858</v>
      </c>
    </row>
    <row r="48" spans="2:8" x14ac:dyDescent="0.3">
      <c r="B48" s="35" t="s">
        <v>137</v>
      </c>
      <c r="C48" s="35" t="s">
        <v>93</v>
      </c>
      <c r="D48" s="35">
        <v>0</v>
      </c>
      <c r="E48" s="35">
        <v>19.549999999999969</v>
      </c>
      <c r="F48" s="35">
        <v>2.1499999999999915</v>
      </c>
      <c r="G48" s="35">
        <v>1E+30</v>
      </c>
      <c r="H48" s="35">
        <v>19.549999999999969</v>
      </c>
    </row>
    <row r="49" spans="2:8" x14ac:dyDescent="0.3">
      <c r="B49" s="35" t="s">
        <v>138</v>
      </c>
      <c r="C49" s="35" t="s">
        <v>95</v>
      </c>
      <c r="D49" s="35">
        <v>0</v>
      </c>
      <c r="E49" s="35">
        <v>0</v>
      </c>
      <c r="F49" s="35">
        <v>1.8800000000000097</v>
      </c>
      <c r="G49" s="35">
        <v>1.9999999999996021E-2</v>
      </c>
      <c r="H49" s="35">
        <v>5.8800000000000097</v>
      </c>
    </row>
    <row r="50" spans="2:8" x14ac:dyDescent="0.3">
      <c r="B50" s="35" t="s">
        <v>139</v>
      </c>
      <c r="C50" s="35" t="s">
        <v>97</v>
      </c>
      <c r="D50" s="35">
        <v>0</v>
      </c>
      <c r="E50" s="35">
        <v>15.950000000000003</v>
      </c>
      <c r="F50" s="35">
        <v>1.9500000000000028</v>
      </c>
      <c r="G50" s="35">
        <v>1E+30</v>
      </c>
      <c r="H50" s="35">
        <v>15.950000000000003</v>
      </c>
    </row>
    <row r="51" spans="2:8" x14ac:dyDescent="0.3">
      <c r="B51" s="35" t="s">
        <v>140</v>
      </c>
      <c r="C51" s="35" t="s">
        <v>99</v>
      </c>
      <c r="D51" s="35">
        <v>0</v>
      </c>
      <c r="E51" s="35">
        <v>3.0000000000000284</v>
      </c>
      <c r="F51" s="35">
        <v>1.9000000000000057</v>
      </c>
      <c r="G51" s="35">
        <v>1E+30</v>
      </c>
      <c r="H51" s="35">
        <v>3.0000000000000284</v>
      </c>
    </row>
    <row r="52" spans="2:8" x14ac:dyDescent="0.3">
      <c r="B52" s="35" t="s">
        <v>141</v>
      </c>
      <c r="C52" s="35" t="s">
        <v>101</v>
      </c>
      <c r="D52" s="35">
        <v>0</v>
      </c>
      <c r="E52" s="35">
        <v>0.64999999999999147</v>
      </c>
      <c r="F52" s="35">
        <v>1.8499999999999943</v>
      </c>
      <c r="G52" s="35">
        <v>1E+30</v>
      </c>
      <c r="H52" s="35">
        <v>0.64999999999999147</v>
      </c>
    </row>
    <row r="53" spans="2:8" x14ac:dyDescent="0.3">
      <c r="B53" s="35" t="s">
        <v>142</v>
      </c>
      <c r="C53" s="35" t="s">
        <v>103</v>
      </c>
      <c r="D53" s="35">
        <v>0</v>
      </c>
      <c r="E53" s="35">
        <v>1.0500000000000398</v>
      </c>
      <c r="F53" s="35">
        <v>2.6999999999999886</v>
      </c>
      <c r="G53" s="35">
        <v>1E+30</v>
      </c>
      <c r="H53" s="35">
        <v>1.0500000000000398</v>
      </c>
    </row>
    <row r="54" spans="2:8" x14ac:dyDescent="0.3">
      <c r="B54" s="35" t="s">
        <v>143</v>
      </c>
      <c r="C54" s="35" t="s">
        <v>105</v>
      </c>
      <c r="D54" s="35">
        <v>0</v>
      </c>
      <c r="E54" s="35">
        <v>4.7500000000002274</v>
      </c>
      <c r="F54" s="35">
        <v>2.4000000000000057</v>
      </c>
      <c r="G54" s="35">
        <v>1E+30</v>
      </c>
      <c r="H54" s="35">
        <v>4.7500000000002274</v>
      </c>
    </row>
    <row r="55" spans="2:8" x14ac:dyDescent="0.3">
      <c r="B55" s="35" t="s">
        <v>144</v>
      </c>
      <c r="C55" s="35" t="s">
        <v>107</v>
      </c>
      <c r="D55" s="35">
        <v>0</v>
      </c>
      <c r="E55" s="35">
        <v>0.80000000000003979</v>
      </c>
      <c r="F55" s="35">
        <v>1.75</v>
      </c>
      <c r="G55" s="35">
        <v>1E+30</v>
      </c>
      <c r="H55" s="35">
        <v>0.80000000000003979</v>
      </c>
    </row>
    <row r="56" spans="2:8" x14ac:dyDescent="0.3">
      <c r="B56" s="35" t="s">
        <v>145</v>
      </c>
      <c r="C56" s="35" t="s">
        <v>109</v>
      </c>
      <c r="D56" s="35">
        <v>0</v>
      </c>
      <c r="E56" s="35">
        <v>10.100000000000051</v>
      </c>
      <c r="F56" s="35">
        <v>2.5500000000000114</v>
      </c>
      <c r="G56" s="35">
        <v>1E+30</v>
      </c>
      <c r="H56" s="35">
        <v>10.100000000000051</v>
      </c>
    </row>
    <row r="57" spans="2:8" x14ac:dyDescent="0.3">
      <c r="B57" s="35" t="s">
        <v>158</v>
      </c>
      <c r="C57" s="35" t="s">
        <v>147</v>
      </c>
      <c r="D57" s="35">
        <v>10000</v>
      </c>
      <c r="E57" s="35">
        <v>0</v>
      </c>
      <c r="F57" s="35">
        <v>8.5</v>
      </c>
      <c r="G57" s="35">
        <v>1</v>
      </c>
      <c r="H57" s="35">
        <v>11.75</v>
      </c>
    </row>
    <row r="58" spans="2:8" x14ac:dyDescent="0.3">
      <c r="B58" s="35" t="s">
        <v>160</v>
      </c>
      <c r="C58" s="35" t="s">
        <v>149</v>
      </c>
      <c r="D58" s="35">
        <v>27500</v>
      </c>
      <c r="E58" s="35">
        <v>0</v>
      </c>
      <c r="F58" s="35">
        <v>10</v>
      </c>
      <c r="G58" s="35">
        <v>1</v>
      </c>
      <c r="H58" s="35">
        <v>1.5</v>
      </c>
    </row>
    <row r="59" spans="2:8" x14ac:dyDescent="0.3">
      <c r="B59" s="35" t="s">
        <v>162</v>
      </c>
      <c r="C59" s="35" t="s">
        <v>151</v>
      </c>
      <c r="D59" s="35">
        <v>0</v>
      </c>
      <c r="E59" s="35">
        <v>3.1000000000000227</v>
      </c>
      <c r="F59" s="35">
        <v>12</v>
      </c>
      <c r="G59" s="35">
        <v>1E+30</v>
      </c>
      <c r="H59" s="35">
        <v>3.1000000000000227</v>
      </c>
    </row>
    <row r="60" spans="2:8" x14ac:dyDescent="0.3">
      <c r="B60" s="35" t="s">
        <v>164</v>
      </c>
      <c r="C60" s="35" t="s">
        <v>153</v>
      </c>
      <c r="D60" s="35">
        <v>2500</v>
      </c>
      <c r="E60" s="35">
        <v>0</v>
      </c>
      <c r="F60" s="35">
        <v>9.25</v>
      </c>
      <c r="G60" s="35">
        <v>4.9999999999982947E-2</v>
      </c>
      <c r="H60" s="35">
        <v>1</v>
      </c>
    </row>
    <row r="61" spans="2:8" x14ac:dyDescent="0.3">
      <c r="B61" s="35" t="s">
        <v>166</v>
      </c>
      <c r="C61" s="35" t="s">
        <v>155</v>
      </c>
      <c r="D61" s="35">
        <v>0</v>
      </c>
      <c r="E61" s="35">
        <v>3.25</v>
      </c>
      <c r="F61" s="35">
        <v>10</v>
      </c>
      <c r="G61" s="35">
        <v>1E+30</v>
      </c>
      <c r="H61" s="35">
        <v>3.25</v>
      </c>
    </row>
    <row r="62" spans="2:8" x14ac:dyDescent="0.3">
      <c r="B62" s="35" t="s">
        <v>168</v>
      </c>
      <c r="C62" s="35" t="s">
        <v>157</v>
      </c>
      <c r="D62" s="35">
        <v>10000</v>
      </c>
      <c r="E62" s="35">
        <v>0</v>
      </c>
      <c r="F62" s="35">
        <v>11</v>
      </c>
      <c r="G62" s="35">
        <v>1.1499999999999773</v>
      </c>
      <c r="H62" s="35">
        <v>4.9999999999982947E-2</v>
      </c>
    </row>
    <row r="63" spans="2:8" x14ac:dyDescent="0.3">
      <c r="B63" s="35" t="s">
        <v>170</v>
      </c>
      <c r="C63" s="35" t="s">
        <v>159</v>
      </c>
      <c r="D63" s="35">
        <v>0</v>
      </c>
      <c r="E63" s="35">
        <v>0.10000000000002274</v>
      </c>
      <c r="F63" s="35">
        <v>9.5</v>
      </c>
      <c r="G63" s="35">
        <v>1E+30</v>
      </c>
      <c r="H63" s="35">
        <v>0.10000000000002274</v>
      </c>
    </row>
    <row r="64" spans="2:8" x14ac:dyDescent="0.3">
      <c r="B64" s="35" t="s">
        <v>172</v>
      </c>
      <c r="C64" s="35" t="s">
        <v>161</v>
      </c>
      <c r="D64" s="35">
        <v>12500</v>
      </c>
      <c r="E64" s="35">
        <v>0</v>
      </c>
      <c r="F64" s="35">
        <v>11</v>
      </c>
      <c r="G64" s="35">
        <v>0.75</v>
      </c>
      <c r="H64" s="35">
        <v>1.3000000000002956</v>
      </c>
    </row>
    <row r="65" spans="2:8" x14ac:dyDescent="0.3">
      <c r="B65" s="35" t="s">
        <v>174</v>
      </c>
      <c r="C65" s="35" t="s">
        <v>163</v>
      </c>
      <c r="D65" s="35">
        <v>0</v>
      </c>
      <c r="E65" s="35">
        <v>0.75</v>
      </c>
      <c r="F65" s="35">
        <v>10.75</v>
      </c>
      <c r="G65" s="35">
        <v>1E+30</v>
      </c>
      <c r="H65" s="35">
        <v>0.75</v>
      </c>
    </row>
    <row r="66" spans="2:8" x14ac:dyDescent="0.3">
      <c r="B66" s="35" t="s">
        <v>176</v>
      </c>
      <c r="C66" s="35" t="s">
        <v>165</v>
      </c>
      <c r="D66" s="35">
        <v>2500</v>
      </c>
      <c r="E66" s="35">
        <v>0</v>
      </c>
      <c r="F66" s="35">
        <v>9.5</v>
      </c>
      <c r="G66" s="35">
        <v>0.10000000000002274</v>
      </c>
      <c r="H66" s="35">
        <v>0.19999999999998863</v>
      </c>
    </row>
    <row r="67" spans="2:8" x14ac:dyDescent="0.3">
      <c r="B67" s="35" t="s">
        <v>178</v>
      </c>
      <c r="C67" s="35" t="s">
        <v>167</v>
      </c>
      <c r="D67" s="35">
        <v>0</v>
      </c>
      <c r="E67" s="35">
        <v>1.8000000000000114</v>
      </c>
      <c r="F67" s="35">
        <v>9.8000000000000114</v>
      </c>
      <c r="G67" s="35">
        <v>1E+30</v>
      </c>
      <c r="H67" s="35">
        <v>1.8000000000000114</v>
      </c>
    </row>
    <row r="68" spans="2:8" x14ac:dyDescent="0.3">
      <c r="B68" s="35" t="s">
        <v>180</v>
      </c>
      <c r="C68" s="35" t="s">
        <v>169</v>
      </c>
      <c r="D68" s="35">
        <v>32500</v>
      </c>
      <c r="E68" s="35">
        <v>0</v>
      </c>
      <c r="F68" s="35">
        <v>11.300000000000011</v>
      </c>
      <c r="G68" s="35">
        <v>0.19999999999998863</v>
      </c>
      <c r="H68" s="35">
        <v>14.800000000000011</v>
      </c>
    </row>
    <row r="69" spans="2:8" x14ac:dyDescent="0.3">
      <c r="B69" s="35" t="s">
        <v>182</v>
      </c>
      <c r="C69" s="35" t="s">
        <v>171</v>
      </c>
      <c r="D69" s="35">
        <v>10000</v>
      </c>
      <c r="E69" s="35">
        <v>0</v>
      </c>
      <c r="F69" s="35">
        <v>10</v>
      </c>
      <c r="G69" s="35">
        <v>0.30000000000001137</v>
      </c>
      <c r="H69" s="35">
        <v>0.25000000000022737</v>
      </c>
    </row>
    <row r="70" spans="2:8" x14ac:dyDescent="0.3">
      <c r="B70" s="35" t="s">
        <v>183</v>
      </c>
      <c r="C70" s="35" t="s">
        <v>173</v>
      </c>
      <c r="D70" s="35">
        <v>22500</v>
      </c>
      <c r="E70" s="35">
        <v>0</v>
      </c>
      <c r="F70" s="35">
        <v>11.5</v>
      </c>
      <c r="G70" s="35">
        <v>0.40000000000009095</v>
      </c>
      <c r="H70" s="35">
        <v>0.30000000000001137</v>
      </c>
    </row>
    <row r="71" spans="2:8" x14ac:dyDescent="0.3">
      <c r="B71" s="35" t="s">
        <v>184</v>
      </c>
      <c r="C71" s="35" t="s">
        <v>175</v>
      </c>
      <c r="D71" s="35">
        <v>0</v>
      </c>
      <c r="E71" s="35">
        <v>14.5</v>
      </c>
      <c r="F71" s="35">
        <v>10.75</v>
      </c>
      <c r="G71" s="35">
        <v>1E+30</v>
      </c>
      <c r="H71" s="35">
        <v>14.5</v>
      </c>
    </row>
    <row r="72" spans="2:8" x14ac:dyDescent="0.3">
      <c r="B72" s="35" t="s">
        <v>185</v>
      </c>
      <c r="C72" s="35" t="s">
        <v>177</v>
      </c>
      <c r="D72" s="35">
        <v>15000</v>
      </c>
      <c r="E72" s="35">
        <v>0</v>
      </c>
      <c r="F72" s="35">
        <v>9.75</v>
      </c>
      <c r="G72" s="35">
        <v>0.25000000000022737</v>
      </c>
      <c r="H72" s="35">
        <v>1.6500000000000057</v>
      </c>
    </row>
    <row r="73" spans="2:8" x14ac:dyDescent="0.3">
      <c r="B73" s="35" t="s">
        <v>186</v>
      </c>
      <c r="C73" s="35" t="s">
        <v>179</v>
      </c>
      <c r="D73" s="35">
        <v>0</v>
      </c>
      <c r="E73" s="35">
        <v>2</v>
      </c>
      <c r="F73" s="35">
        <v>10</v>
      </c>
      <c r="G73" s="35">
        <v>1E+30</v>
      </c>
      <c r="H73" s="35">
        <v>2</v>
      </c>
    </row>
    <row r="74" spans="2:8" x14ac:dyDescent="0.3">
      <c r="B74" s="35" t="s">
        <v>187</v>
      </c>
      <c r="C74" s="35" t="s">
        <v>181</v>
      </c>
      <c r="D74" s="35">
        <v>0</v>
      </c>
      <c r="E74" s="35">
        <v>3</v>
      </c>
      <c r="F74" s="35">
        <v>12.5</v>
      </c>
      <c r="G74" s="35">
        <v>1E+30</v>
      </c>
      <c r="H74" s="35">
        <v>3</v>
      </c>
    </row>
    <row r="75" spans="2:8" x14ac:dyDescent="0.3">
      <c r="B75" s="35" t="s">
        <v>188</v>
      </c>
      <c r="C75" s="35" t="s">
        <v>147</v>
      </c>
      <c r="D75" s="35">
        <v>0</v>
      </c>
      <c r="E75" s="35">
        <v>1</v>
      </c>
      <c r="F75" s="35">
        <v>12</v>
      </c>
      <c r="G75" s="35">
        <v>1E+30</v>
      </c>
      <c r="H75" s="35">
        <v>1</v>
      </c>
    </row>
    <row r="76" spans="2:8" x14ac:dyDescent="0.3">
      <c r="B76" s="35" t="s">
        <v>189</v>
      </c>
      <c r="C76" s="35" t="s">
        <v>149</v>
      </c>
      <c r="D76" s="35">
        <v>0</v>
      </c>
      <c r="E76" s="35">
        <v>1</v>
      </c>
      <c r="F76" s="35">
        <v>13.5</v>
      </c>
      <c r="G76" s="35">
        <v>1E+30</v>
      </c>
      <c r="H76" s="35">
        <v>1</v>
      </c>
    </row>
    <row r="77" spans="2:8" x14ac:dyDescent="0.3">
      <c r="B77" s="35" t="s">
        <v>190</v>
      </c>
      <c r="C77" s="35" t="s">
        <v>151</v>
      </c>
      <c r="D77" s="35">
        <v>0</v>
      </c>
      <c r="E77" s="35">
        <v>3.6000000000000227</v>
      </c>
      <c r="F77" s="35">
        <v>15</v>
      </c>
      <c r="G77" s="35">
        <v>1E+30</v>
      </c>
      <c r="H77" s="35">
        <v>3.6000000000000227</v>
      </c>
    </row>
    <row r="78" spans="2:8" x14ac:dyDescent="0.3">
      <c r="B78" s="35" t="s">
        <v>191</v>
      </c>
      <c r="C78" s="35" t="s">
        <v>153</v>
      </c>
      <c r="D78" s="35">
        <v>10000</v>
      </c>
      <c r="E78" s="35">
        <v>0</v>
      </c>
      <c r="F78" s="35">
        <v>11.75</v>
      </c>
      <c r="G78" s="35">
        <v>0.75</v>
      </c>
      <c r="H78" s="35">
        <v>1.6999999999999318</v>
      </c>
    </row>
    <row r="79" spans="2:8" x14ac:dyDescent="0.3">
      <c r="B79" s="35" t="s">
        <v>192</v>
      </c>
      <c r="C79" s="35" t="s">
        <v>155</v>
      </c>
      <c r="D79" s="35">
        <v>27500</v>
      </c>
      <c r="E79" s="35">
        <v>0</v>
      </c>
      <c r="F79" s="35">
        <v>9.25</v>
      </c>
      <c r="G79" s="35">
        <v>1.6999999999999318</v>
      </c>
      <c r="H79" s="35">
        <v>10</v>
      </c>
    </row>
    <row r="80" spans="2:8" x14ac:dyDescent="0.3">
      <c r="B80" s="35" t="s">
        <v>193</v>
      </c>
      <c r="C80" s="35" t="s">
        <v>157</v>
      </c>
      <c r="D80" s="35">
        <v>0</v>
      </c>
      <c r="E80" s="35">
        <v>1.1499999999999773</v>
      </c>
      <c r="F80" s="35">
        <v>14.649999999999977</v>
      </c>
      <c r="G80" s="35">
        <v>1E+30</v>
      </c>
      <c r="H80" s="35">
        <v>1.1499999999999773</v>
      </c>
    </row>
    <row r="81" spans="2:8" x14ac:dyDescent="0.3">
      <c r="B81" s="35" t="s">
        <v>194</v>
      </c>
      <c r="C81" s="35" t="s">
        <v>159</v>
      </c>
      <c r="D81" s="35">
        <v>0</v>
      </c>
      <c r="E81" s="35">
        <v>0.35000000000002274</v>
      </c>
      <c r="F81" s="35">
        <v>13</v>
      </c>
      <c r="G81" s="35">
        <v>1E+30</v>
      </c>
      <c r="H81" s="35">
        <v>0.35000000000002274</v>
      </c>
    </row>
    <row r="82" spans="2:8" x14ac:dyDescent="0.3">
      <c r="B82" s="35" t="s">
        <v>195</v>
      </c>
      <c r="C82" s="35" t="s">
        <v>161</v>
      </c>
      <c r="D82" s="35">
        <v>0</v>
      </c>
      <c r="E82" s="35">
        <v>0.75</v>
      </c>
      <c r="F82" s="35">
        <v>15</v>
      </c>
      <c r="G82" s="35">
        <v>1E+30</v>
      </c>
      <c r="H82" s="35">
        <v>0.75</v>
      </c>
    </row>
    <row r="83" spans="2:8" x14ac:dyDescent="0.3">
      <c r="B83" s="35" t="s">
        <v>196</v>
      </c>
      <c r="C83" s="35" t="s">
        <v>163</v>
      </c>
      <c r="D83" s="35">
        <v>0</v>
      </c>
      <c r="E83" s="35">
        <v>1.75</v>
      </c>
      <c r="F83" s="35">
        <v>15</v>
      </c>
      <c r="G83" s="35">
        <v>1E+30</v>
      </c>
      <c r="H83" s="35">
        <v>1.75</v>
      </c>
    </row>
    <row r="84" spans="2:8" x14ac:dyDescent="0.3">
      <c r="B84" s="35" t="s">
        <v>197</v>
      </c>
      <c r="C84" s="35" t="s">
        <v>165</v>
      </c>
      <c r="D84" s="35">
        <v>2500</v>
      </c>
      <c r="E84" s="35">
        <v>0</v>
      </c>
      <c r="F84" s="35">
        <v>12.75</v>
      </c>
      <c r="G84" s="35">
        <v>0.25</v>
      </c>
      <c r="H84" s="35">
        <v>4.9999999999954525E-2</v>
      </c>
    </row>
    <row r="85" spans="2:8" x14ac:dyDescent="0.3">
      <c r="B85" s="35" t="s">
        <v>198</v>
      </c>
      <c r="C85" s="35" t="s">
        <v>167</v>
      </c>
      <c r="D85" s="35">
        <v>27500</v>
      </c>
      <c r="E85" s="35">
        <v>0</v>
      </c>
      <c r="F85" s="35">
        <v>11.25</v>
      </c>
      <c r="G85" s="35">
        <v>4.9999999999954525E-2</v>
      </c>
      <c r="H85" s="35">
        <v>11.5</v>
      </c>
    </row>
    <row r="86" spans="2:8" x14ac:dyDescent="0.3">
      <c r="B86" s="35" t="s">
        <v>199</v>
      </c>
      <c r="C86" s="35" t="s">
        <v>169</v>
      </c>
      <c r="D86" s="35">
        <v>0</v>
      </c>
      <c r="E86" s="35">
        <v>0.75</v>
      </c>
      <c r="F86" s="35">
        <v>15.300000000000011</v>
      </c>
      <c r="G86" s="35">
        <v>1E+30</v>
      </c>
      <c r="H86" s="35">
        <v>0.75</v>
      </c>
    </row>
    <row r="87" spans="2:8" x14ac:dyDescent="0.3">
      <c r="B87" s="35" t="s">
        <v>200</v>
      </c>
      <c r="C87" s="35" t="s">
        <v>171</v>
      </c>
      <c r="D87" s="35">
        <v>0</v>
      </c>
      <c r="E87" s="35">
        <v>0.30000000000001137</v>
      </c>
      <c r="F87" s="35">
        <v>12.800000000000011</v>
      </c>
      <c r="G87" s="35">
        <v>1E+30</v>
      </c>
      <c r="H87" s="35">
        <v>0.30000000000001137</v>
      </c>
    </row>
    <row r="88" spans="2:8" x14ac:dyDescent="0.3">
      <c r="B88" s="35" t="s">
        <v>201</v>
      </c>
      <c r="C88" s="35" t="s">
        <v>173</v>
      </c>
      <c r="D88" s="35">
        <v>0</v>
      </c>
      <c r="E88" s="35">
        <v>0</v>
      </c>
      <c r="F88" s="35">
        <v>14</v>
      </c>
      <c r="G88" s="35">
        <v>0.30000000000001137</v>
      </c>
      <c r="H88" s="35">
        <v>1</v>
      </c>
    </row>
    <row r="89" spans="2:8" x14ac:dyDescent="0.3">
      <c r="B89" s="35" t="s">
        <v>202</v>
      </c>
      <c r="C89" s="35" t="s">
        <v>175</v>
      </c>
      <c r="D89" s="35">
        <v>0</v>
      </c>
      <c r="E89" s="35">
        <v>16.050000000000068</v>
      </c>
      <c r="F89" s="35">
        <v>14.800000000000068</v>
      </c>
      <c r="G89" s="35">
        <v>1E+30</v>
      </c>
      <c r="H89" s="35">
        <v>16.050000000000068</v>
      </c>
    </row>
    <row r="90" spans="2:8" x14ac:dyDescent="0.3">
      <c r="B90" s="35" t="s">
        <v>203</v>
      </c>
      <c r="C90" s="35" t="s">
        <v>177</v>
      </c>
      <c r="D90" s="35">
        <v>0</v>
      </c>
      <c r="E90" s="35">
        <v>1.25</v>
      </c>
      <c r="F90" s="35">
        <v>13.5</v>
      </c>
      <c r="G90" s="35">
        <v>1E+30</v>
      </c>
      <c r="H90" s="35">
        <v>1.25</v>
      </c>
    </row>
    <row r="91" spans="2:8" x14ac:dyDescent="0.3">
      <c r="B91" s="35" t="s">
        <v>204</v>
      </c>
      <c r="C91" s="35" t="s">
        <v>179</v>
      </c>
      <c r="D91" s="35">
        <v>30000</v>
      </c>
      <c r="E91" s="35">
        <v>0</v>
      </c>
      <c r="F91" s="35">
        <v>10.5</v>
      </c>
      <c r="G91" s="35">
        <v>1</v>
      </c>
      <c r="H91" s="35">
        <v>11.75</v>
      </c>
    </row>
    <row r="92" spans="2:8" x14ac:dyDescent="0.3">
      <c r="B92" s="35" t="s">
        <v>205</v>
      </c>
      <c r="C92" s="35" t="s">
        <v>181</v>
      </c>
      <c r="D92" s="35">
        <v>0</v>
      </c>
      <c r="E92" s="35">
        <v>3.0499999999999545</v>
      </c>
      <c r="F92" s="35">
        <v>15.049999999999955</v>
      </c>
      <c r="G92" s="35">
        <v>1E+30</v>
      </c>
      <c r="H92" s="35">
        <v>3.0499999999999545</v>
      </c>
    </row>
    <row r="93" spans="2:8" x14ac:dyDescent="0.3">
      <c r="B93" s="35" t="s">
        <v>206</v>
      </c>
      <c r="C93" s="35" t="s">
        <v>147</v>
      </c>
      <c r="D93" s="35">
        <v>0</v>
      </c>
      <c r="E93" s="35">
        <v>4.5499999999999545</v>
      </c>
      <c r="F93" s="35">
        <v>16.299999999999955</v>
      </c>
      <c r="G93" s="35">
        <v>1E+30</v>
      </c>
      <c r="H93" s="35">
        <v>4.5499999999999545</v>
      </c>
    </row>
    <row r="94" spans="2:8" x14ac:dyDescent="0.3">
      <c r="B94" s="35" t="s">
        <v>207</v>
      </c>
      <c r="C94" s="35" t="s">
        <v>149</v>
      </c>
      <c r="D94" s="35">
        <v>0</v>
      </c>
      <c r="E94" s="35">
        <v>6.75</v>
      </c>
      <c r="F94" s="35">
        <v>20</v>
      </c>
      <c r="G94" s="35">
        <v>1E+30</v>
      </c>
      <c r="H94" s="35">
        <v>6.75</v>
      </c>
    </row>
    <row r="95" spans="2:8" x14ac:dyDescent="0.3">
      <c r="B95" s="35" t="s">
        <v>208</v>
      </c>
      <c r="C95" s="35" t="s">
        <v>151</v>
      </c>
      <c r="D95" s="35">
        <v>0</v>
      </c>
      <c r="E95" s="35">
        <v>1.1500000000000909</v>
      </c>
      <c r="F95" s="35">
        <v>13.300000000000068</v>
      </c>
      <c r="G95" s="35">
        <v>1E+30</v>
      </c>
      <c r="H95" s="35">
        <v>1.1500000000000909</v>
      </c>
    </row>
    <row r="96" spans="2:8" x14ac:dyDescent="0.3">
      <c r="B96" s="35" t="s">
        <v>209</v>
      </c>
      <c r="C96" s="35" t="s">
        <v>153</v>
      </c>
      <c r="D96" s="35">
        <v>20000</v>
      </c>
      <c r="E96" s="35">
        <v>0</v>
      </c>
      <c r="F96" s="35">
        <v>12.5</v>
      </c>
      <c r="G96" s="35">
        <v>1.1500000000000909</v>
      </c>
      <c r="H96" s="35">
        <v>4.9999999999982947E-2</v>
      </c>
    </row>
    <row r="97" spans="2:8" x14ac:dyDescent="0.3">
      <c r="B97" s="35" t="s">
        <v>210</v>
      </c>
      <c r="C97" s="35" t="s">
        <v>155</v>
      </c>
      <c r="D97" s="35">
        <v>0</v>
      </c>
      <c r="E97" s="35">
        <v>5.1999999999999318</v>
      </c>
      <c r="F97" s="35">
        <v>15.199999999999932</v>
      </c>
      <c r="G97" s="35">
        <v>1E+30</v>
      </c>
      <c r="H97" s="35">
        <v>5.1999999999999318</v>
      </c>
    </row>
    <row r="98" spans="2:8" x14ac:dyDescent="0.3">
      <c r="B98" s="35" t="s">
        <v>211</v>
      </c>
      <c r="C98" s="35" t="s">
        <v>157</v>
      </c>
      <c r="D98" s="35">
        <v>0</v>
      </c>
      <c r="E98" s="35">
        <v>3.0500000000000682</v>
      </c>
      <c r="F98" s="35">
        <v>17.300000000000068</v>
      </c>
      <c r="G98" s="35">
        <v>1E+30</v>
      </c>
      <c r="H98" s="35">
        <v>3.0500000000000682</v>
      </c>
    </row>
    <row r="99" spans="2:8" x14ac:dyDescent="0.3">
      <c r="B99" s="35" t="s">
        <v>212</v>
      </c>
      <c r="C99" s="35" t="s">
        <v>159</v>
      </c>
      <c r="D99" s="35">
        <v>0</v>
      </c>
      <c r="E99" s="35">
        <v>2.3999999999999773</v>
      </c>
      <c r="F99" s="35">
        <v>15.299999999999955</v>
      </c>
      <c r="G99" s="35">
        <v>1E+30</v>
      </c>
      <c r="H99" s="35">
        <v>2.3999999999999773</v>
      </c>
    </row>
    <row r="100" spans="2:8" x14ac:dyDescent="0.3">
      <c r="B100" s="35" t="s">
        <v>213</v>
      </c>
      <c r="C100" s="35" t="s">
        <v>161</v>
      </c>
      <c r="D100" s="35">
        <v>0</v>
      </c>
      <c r="E100" s="35">
        <v>3</v>
      </c>
      <c r="F100" s="35">
        <v>17.5</v>
      </c>
      <c r="G100" s="35">
        <v>1E+30</v>
      </c>
      <c r="H100" s="35">
        <v>3</v>
      </c>
    </row>
    <row r="101" spans="2:8" x14ac:dyDescent="0.3">
      <c r="B101" s="35" t="s">
        <v>214</v>
      </c>
      <c r="C101" s="35" t="s">
        <v>163</v>
      </c>
      <c r="D101" s="35">
        <v>25000</v>
      </c>
      <c r="E101" s="35">
        <v>0</v>
      </c>
      <c r="F101" s="35">
        <v>13.5</v>
      </c>
      <c r="G101" s="35">
        <v>0.75</v>
      </c>
      <c r="H101" s="35">
        <v>13.5</v>
      </c>
    </row>
    <row r="102" spans="2:8" x14ac:dyDescent="0.3">
      <c r="B102" s="35" t="s">
        <v>215</v>
      </c>
      <c r="C102" s="35" t="s">
        <v>165</v>
      </c>
      <c r="D102" s="35">
        <v>27500</v>
      </c>
      <c r="E102" s="35">
        <v>0</v>
      </c>
      <c r="F102" s="35">
        <v>13</v>
      </c>
      <c r="G102" s="35">
        <v>4.9999999999954525E-2</v>
      </c>
      <c r="H102" s="35">
        <v>0.10000000000002274</v>
      </c>
    </row>
    <row r="103" spans="2:8" x14ac:dyDescent="0.3">
      <c r="B103" s="35" t="s">
        <v>216</v>
      </c>
      <c r="C103" s="35" t="s">
        <v>167</v>
      </c>
      <c r="D103" s="35">
        <v>0</v>
      </c>
      <c r="E103" s="35">
        <v>3</v>
      </c>
      <c r="F103" s="35">
        <v>14.5</v>
      </c>
      <c r="G103" s="35">
        <v>1E+30</v>
      </c>
      <c r="H103" s="35">
        <v>3</v>
      </c>
    </row>
    <row r="104" spans="2:8" x14ac:dyDescent="0.3">
      <c r="B104" s="35" t="s">
        <v>217</v>
      </c>
      <c r="C104" s="35" t="s">
        <v>169</v>
      </c>
      <c r="D104" s="35">
        <v>0</v>
      </c>
      <c r="E104" s="35">
        <v>0.30000000000001137</v>
      </c>
      <c r="F104" s="35">
        <v>15.100000000000023</v>
      </c>
      <c r="G104" s="35">
        <v>1E+30</v>
      </c>
      <c r="H104" s="35">
        <v>0.30000000000001137</v>
      </c>
    </row>
    <row r="105" spans="2:8" x14ac:dyDescent="0.3">
      <c r="B105" s="35" t="s">
        <v>218</v>
      </c>
      <c r="C105" s="35" t="s">
        <v>171</v>
      </c>
      <c r="D105" s="35">
        <v>0</v>
      </c>
      <c r="E105" s="35">
        <v>2.0499999999999545</v>
      </c>
      <c r="F105" s="35">
        <v>15.799999999999955</v>
      </c>
      <c r="G105" s="35">
        <v>1E+30</v>
      </c>
      <c r="H105" s="35">
        <v>2.0499999999999545</v>
      </c>
    </row>
    <row r="106" spans="2:8" x14ac:dyDescent="0.3">
      <c r="B106" s="35" t="s">
        <v>219</v>
      </c>
      <c r="C106" s="35" t="s">
        <v>173</v>
      </c>
      <c r="D106" s="35">
        <v>0</v>
      </c>
      <c r="E106" s="35">
        <v>2.75</v>
      </c>
      <c r="F106" s="35">
        <v>18</v>
      </c>
      <c r="G106" s="35">
        <v>1E+30</v>
      </c>
      <c r="H106" s="35">
        <v>2.75</v>
      </c>
    </row>
    <row r="107" spans="2:8" x14ac:dyDescent="0.3">
      <c r="B107" s="35" t="s">
        <v>220</v>
      </c>
      <c r="C107" s="35" t="s">
        <v>175</v>
      </c>
      <c r="D107" s="35">
        <v>0</v>
      </c>
      <c r="E107" s="35">
        <v>14</v>
      </c>
      <c r="F107" s="35">
        <v>14</v>
      </c>
      <c r="G107" s="35">
        <v>1E+30</v>
      </c>
      <c r="H107" s="35">
        <v>14</v>
      </c>
    </row>
    <row r="108" spans="2:8" x14ac:dyDescent="0.3">
      <c r="B108" s="35" t="s">
        <v>221</v>
      </c>
      <c r="C108" s="35" t="s">
        <v>177</v>
      </c>
      <c r="D108" s="35">
        <v>20000</v>
      </c>
      <c r="E108" s="35">
        <v>0</v>
      </c>
      <c r="F108" s="35">
        <v>13.5</v>
      </c>
      <c r="G108" s="35">
        <v>1.6500000000000057</v>
      </c>
      <c r="H108" s="35">
        <v>0.45000000000004547</v>
      </c>
    </row>
    <row r="109" spans="2:8" x14ac:dyDescent="0.3">
      <c r="B109" s="35" t="s">
        <v>222</v>
      </c>
      <c r="C109" s="35" t="s">
        <v>179</v>
      </c>
      <c r="D109" s="35">
        <v>0</v>
      </c>
      <c r="E109" s="35">
        <v>3.25</v>
      </c>
      <c r="F109" s="35">
        <v>15</v>
      </c>
      <c r="G109" s="35">
        <v>1E+30</v>
      </c>
      <c r="H109" s="35">
        <v>3.25</v>
      </c>
    </row>
    <row r="110" spans="2:8" x14ac:dyDescent="0.3">
      <c r="B110" s="35" t="s">
        <v>223</v>
      </c>
      <c r="C110" s="35" t="s">
        <v>181</v>
      </c>
      <c r="D110" s="35">
        <v>0</v>
      </c>
      <c r="E110" s="35">
        <v>2.3500000000000227</v>
      </c>
      <c r="F110" s="35">
        <v>15.600000000000023</v>
      </c>
      <c r="G110" s="35">
        <v>1E+30</v>
      </c>
      <c r="H110" s="35">
        <v>2.3500000000000227</v>
      </c>
    </row>
    <row r="111" spans="2:8" x14ac:dyDescent="0.3">
      <c r="B111" s="35" t="s">
        <v>224</v>
      </c>
      <c r="C111" s="35" t="s">
        <v>147</v>
      </c>
      <c r="D111" s="35">
        <v>0</v>
      </c>
      <c r="E111" s="35">
        <v>1.7999999999999545</v>
      </c>
      <c r="F111" s="35">
        <v>13.149999999999977</v>
      </c>
      <c r="G111" s="35">
        <v>1E+30</v>
      </c>
      <c r="H111" s="35">
        <v>1.7999999999999545</v>
      </c>
    </row>
    <row r="112" spans="2:8" x14ac:dyDescent="0.3">
      <c r="B112" s="35" t="s">
        <v>225</v>
      </c>
      <c r="C112" s="35" t="s">
        <v>149</v>
      </c>
      <c r="D112" s="35">
        <v>0</v>
      </c>
      <c r="E112" s="35">
        <v>2.1499999999999773</v>
      </c>
      <c r="F112" s="35">
        <v>15</v>
      </c>
      <c r="G112" s="35">
        <v>1E+30</v>
      </c>
      <c r="H112" s="35">
        <v>2.1499999999999773</v>
      </c>
    </row>
    <row r="113" spans="2:8" x14ac:dyDescent="0.3">
      <c r="B113" s="35" t="s">
        <v>226</v>
      </c>
      <c r="C113" s="35" t="s">
        <v>151</v>
      </c>
      <c r="D113" s="35">
        <v>25000</v>
      </c>
      <c r="E113" s="35">
        <v>0</v>
      </c>
      <c r="F113" s="35">
        <v>11.75</v>
      </c>
      <c r="G113" s="35">
        <v>1.1500000000000909</v>
      </c>
      <c r="H113" s="35">
        <v>12.149999999999977</v>
      </c>
    </row>
    <row r="114" spans="2:8" x14ac:dyDescent="0.3">
      <c r="B114" s="35" t="s">
        <v>227</v>
      </c>
      <c r="C114" s="35" t="s">
        <v>153</v>
      </c>
      <c r="D114" s="35">
        <v>0</v>
      </c>
      <c r="E114" s="35">
        <v>1.7000000000000455</v>
      </c>
      <c r="F114" s="35">
        <v>13.800000000000068</v>
      </c>
      <c r="G114" s="35">
        <v>1E+30</v>
      </c>
      <c r="H114" s="35">
        <v>1.7000000000000455</v>
      </c>
    </row>
    <row r="115" spans="2:8" x14ac:dyDescent="0.3">
      <c r="B115" s="35" t="s">
        <v>228</v>
      </c>
      <c r="C115" s="35" t="s">
        <v>155</v>
      </c>
      <c r="D115" s="35">
        <v>0</v>
      </c>
      <c r="E115" s="35">
        <v>1.6999999999999318</v>
      </c>
      <c r="F115" s="35">
        <v>11.299999999999955</v>
      </c>
      <c r="G115" s="35">
        <v>1E+30</v>
      </c>
      <c r="H115" s="35">
        <v>1.6999999999999318</v>
      </c>
    </row>
    <row r="116" spans="2:8" x14ac:dyDescent="0.3">
      <c r="B116" s="35" t="s">
        <v>229</v>
      </c>
      <c r="C116" s="35" t="s">
        <v>157</v>
      </c>
      <c r="D116" s="35">
        <v>20000</v>
      </c>
      <c r="E116" s="35">
        <v>0</v>
      </c>
      <c r="F116" s="35">
        <v>13.850000000000023</v>
      </c>
      <c r="G116" s="35">
        <v>4.9999999999982947E-2</v>
      </c>
      <c r="H116" s="35">
        <v>1.1500000000000909</v>
      </c>
    </row>
    <row r="117" spans="2:8" x14ac:dyDescent="0.3">
      <c r="B117" s="35" t="s">
        <v>230</v>
      </c>
      <c r="C117" s="35" t="s">
        <v>159</v>
      </c>
      <c r="D117" s="35">
        <v>7500</v>
      </c>
      <c r="E117" s="35">
        <v>0</v>
      </c>
      <c r="F117" s="35">
        <v>12.899999999999977</v>
      </c>
      <c r="G117" s="35">
        <v>0.10000000000002274</v>
      </c>
      <c r="H117" s="35">
        <v>12.899999999999977</v>
      </c>
    </row>
    <row r="118" spans="2:8" x14ac:dyDescent="0.3">
      <c r="B118" s="35" t="s">
        <v>231</v>
      </c>
      <c r="C118" s="35" t="s">
        <v>161</v>
      </c>
      <c r="D118" s="35">
        <v>0</v>
      </c>
      <c r="E118" s="35">
        <v>1</v>
      </c>
      <c r="F118" s="35">
        <v>15.5</v>
      </c>
      <c r="G118" s="35">
        <v>1E+30</v>
      </c>
      <c r="H118" s="35">
        <v>1</v>
      </c>
    </row>
    <row r="119" spans="2:8" x14ac:dyDescent="0.3">
      <c r="B119" s="35" t="s">
        <v>232</v>
      </c>
      <c r="C119" s="35" t="s">
        <v>163</v>
      </c>
      <c r="D119" s="35">
        <v>0</v>
      </c>
      <c r="E119" s="35">
        <v>1</v>
      </c>
      <c r="F119" s="35">
        <v>14.5</v>
      </c>
      <c r="G119" s="35">
        <v>1E+30</v>
      </c>
      <c r="H119" s="35">
        <v>1</v>
      </c>
    </row>
    <row r="120" spans="2:8" x14ac:dyDescent="0.3">
      <c r="B120" s="35" t="s">
        <v>233</v>
      </c>
      <c r="C120" s="35" t="s">
        <v>165</v>
      </c>
      <c r="D120" s="35">
        <v>0</v>
      </c>
      <c r="E120" s="35">
        <v>1.5500000000000682</v>
      </c>
      <c r="F120" s="35">
        <v>14.550000000000068</v>
      </c>
      <c r="G120" s="35">
        <v>1E+30</v>
      </c>
      <c r="H120" s="35">
        <v>1.5500000000000682</v>
      </c>
    </row>
    <row r="121" spans="2:8" x14ac:dyDescent="0.3">
      <c r="B121" s="35" t="s">
        <v>234</v>
      </c>
      <c r="C121" s="35" t="s">
        <v>167</v>
      </c>
      <c r="D121" s="35">
        <v>0</v>
      </c>
      <c r="E121" s="35">
        <v>4.9999999999954525E-2</v>
      </c>
      <c r="F121" s="35">
        <v>11.549999999999955</v>
      </c>
      <c r="G121" s="35">
        <v>1E+30</v>
      </c>
      <c r="H121" s="35">
        <v>4.9999999999954525E-2</v>
      </c>
    </row>
    <row r="122" spans="2:8" x14ac:dyDescent="0.3">
      <c r="B122" s="35" t="s">
        <v>235</v>
      </c>
      <c r="C122" s="35" t="s">
        <v>169</v>
      </c>
      <c r="D122" s="35">
        <v>0</v>
      </c>
      <c r="E122" s="35">
        <v>0.19999999999998863</v>
      </c>
      <c r="F122" s="35">
        <v>15</v>
      </c>
      <c r="G122" s="35">
        <v>1E+30</v>
      </c>
      <c r="H122" s="35">
        <v>0.19999999999998863</v>
      </c>
    </row>
    <row r="123" spans="2:8" x14ac:dyDescent="0.3">
      <c r="B123" s="35" t="s">
        <v>599</v>
      </c>
      <c r="C123" s="35" t="s">
        <v>171</v>
      </c>
      <c r="D123" s="35">
        <v>0</v>
      </c>
      <c r="E123" s="35">
        <v>0</v>
      </c>
      <c r="F123" s="35">
        <v>13.299999999999955</v>
      </c>
      <c r="G123" s="35">
        <v>0.25000000000022737</v>
      </c>
      <c r="H123" s="35">
        <v>2.3500000000000227</v>
      </c>
    </row>
    <row r="124" spans="2:8" x14ac:dyDescent="0.3">
      <c r="B124" s="35" t="s">
        <v>600</v>
      </c>
      <c r="C124" s="35" t="s">
        <v>173</v>
      </c>
      <c r="D124" s="35">
        <v>0</v>
      </c>
      <c r="E124" s="35">
        <v>0.40000000000009095</v>
      </c>
      <c r="F124" s="35">
        <v>15.200000000000045</v>
      </c>
      <c r="G124" s="35">
        <v>1E+30</v>
      </c>
      <c r="H124" s="35">
        <v>0.40000000000009095</v>
      </c>
    </row>
    <row r="125" spans="2:8" x14ac:dyDescent="0.3">
      <c r="B125" s="35" t="s">
        <v>601</v>
      </c>
      <c r="C125" s="35" t="s">
        <v>175</v>
      </c>
      <c r="D125" s="35">
        <v>0</v>
      </c>
      <c r="E125" s="35">
        <v>13.099999999999909</v>
      </c>
      <c r="F125" s="35">
        <v>12.649999999999864</v>
      </c>
      <c r="G125" s="35">
        <v>1E+30</v>
      </c>
      <c r="H125" s="35">
        <v>13.099999999999909</v>
      </c>
    </row>
    <row r="126" spans="2:8" x14ac:dyDescent="0.3">
      <c r="B126" s="35" t="s">
        <v>602</v>
      </c>
      <c r="C126" s="35" t="s">
        <v>177</v>
      </c>
      <c r="D126" s="35">
        <v>0</v>
      </c>
      <c r="E126" s="35">
        <v>0.25000000000022737</v>
      </c>
      <c r="F126" s="35">
        <v>13.300000000000182</v>
      </c>
      <c r="G126" s="35">
        <v>1E+30</v>
      </c>
      <c r="H126" s="35">
        <v>0.25000000000022737</v>
      </c>
    </row>
    <row r="127" spans="2:8" x14ac:dyDescent="0.3">
      <c r="B127" s="35" t="s">
        <v>603</v>
      </c>
      <c r="C127" s="35" t="s">
        <v>179</v>
      </c>
      <c r="D127" s="35">
        <v>0</v>
      </c>
      <c r="E127" s="35">
        <v>1</v>
      </c>
      <c r="F127" s="35">
        <v>12.299999999999955</v>
      </c>
      <c r="G127" s="35">
        <v>1E+30</v>
      </c>
      <c r="H127" s="35">
        <v>1</v>
      </c>
    </row>
    <row r="128" spans="2:8" x14ac:dyDescent="0.3">
      <c r="B128" s="35" t="s">
        <v>604</v>
      </c>
      <c r="C128" s="35" t="s">
        <v>181</v>
      </c>
      <c r="D128" s="35">
        <v>55000</v>
      </c>
      <c r="E128" s="35">
        <v>0</v>
      </c>
      <c r="F128" s="35">
        <v>12.799999999999955</v>
      </c>
      <c r="G128" s="35">
        <v>2.3500000000000227</v>
      </c>
      <c r="H128" s="35">
        <v>13.25</v>
      </c>
    </row>
    <row r="129" spans="2:8" x14ac:dyDescent="0.3">
      <c r="B129" s="35" t="s">
        <v>436</v>
      </c>
      <c r="C129" s="35" t="s">
        <v>147</v>
      </c>
      <c r="D129" s="35">
        <v>0</v>
      </c>
      <c r="E129" s="35">
        <v>15.900000000000176</v>
      </c>
      <c r="F129" s="35">
        <v>25.300000000000182</v>
      </c>
      <c r="G129" s="35">
        <v>1E+30</v>
      </c>
      <c r="H129" s="35">
        <v>15.900000000000176</v>
      </c>
    </row>
    <row r="130" spans="2:8" x14ac:dyDescent="0.3">
      <c r="B130" s="35" t="s">
        <v>437</v>
      </c>
      <c r="C130" s="35" t="s">
        <v>149</v>
      </c>
      <c r="D130" s="35">
        <v>0</v>
      </c>
      <c r="E130" s="35">
        <v>22.099999999999994</v>
      </c>
      <c r="F130" s="35">
        <v>33</v>
      </c>
      <c r="G130" s="35">
        <v>1E+30</v>
      </c>
      <c r="H130" s="35">
        <v>22.099999999999994</v>
      </c>
    </row>
    <row r="131" spans="2:8" x14ac:dyDescent="0.3">
      <c r="B131" s="35" t="s">
        <v>438</v>
      </c>
      <c r="C131" s="35" t="s">
        <v>151</v>
      </c>
      <c r="D131" s="35">
        <v>0</v>
      </c>
      <c r="E131" s="35">
        <v>36.399999999999835</v>
      </c>
      <c r="F131" s="35">
        <v>46.199999999999818</v>
      </c>
      <c r="G131" s="35">
        <v>1E+30</v>
      </c>
      <c r="H131" s="35">
        <v>36.399999999999835</v>
      </c>
    </row>
    <row r="132" spans="2:8" x14ac:dyDescent="0.3">
      <c r="B132" s="35" t="s">
        <v>439</v>
      </c>
      <c r="C132" s="35" t="s">
        <v>153</v>
      </c>
      <c r="D132" s="35">
        <v>0</v>
      </c>
      <c r="E132" s="35">
        <v>22.849999999999994</v>
      </c>
      <c r="F132" s="35">
        <v>33</v>
      </c>
      <c r="G132" s="35">
        <v>1E+30</v>
      </c>
      <c r="H132" s="35">
        <v>22.849999999999994</v>
      </c>
    </row>
    <row r="133" spans="2:8" x14ac:dyDescent="0.3">
      <c r="B133" s="35" t="s">
        <v>440</v>
      </c>
      <c r="C133" s="35" t="s">
        <v>155</v>
      </c>
      <c r="D133" s="35">
        <v>0</v>
      </c>
      <c r="E133" s="35">
        <v>6.0999999999999943</v>
      </c>
      <c r="F133" s="35">
        <v>13.75</v>
      </c>
      <c r="G133" s="35">
        <v>1E+30</v>
      </c>
      <c r="H133" s="35">
        <v>6.0999999999999943</v>
      </c>
    </row>
    <row r="134" spans="2:8" x14ac:dyDescent="0.3">
      <c r="B134" s="35" t="s">
        <v>441</v>
      </c>
      <c r="C134" s="35" t="s">
        <v>157</v>
      </c>
      <c r="D134" s="35">
        <v>0</v>
      </c>
      <c r="E134" s="35">
        <v>37.599999999999994</v>
      </c>
      <c r="F134" s="35">
        <v>49.5</v>
      </c>
      <c r="G134" s="35">
        <v>1E+30</v>
      </c>
      <c r="H134" s="35">
        <v>37.599999999999994</v>
      </c>
    </row>
    <row r="135" spans="2:8" x14ac:dyDescent="0.3">
      <c r="B135" s="35" t="s">
        <v>442</v>
      </c>
      <c r="C135" s="35" t="s">
        <v>159</v>
      </c>
      <c r="D135" s="35">
        <v>0</v>
      </c>
      <c r="E135" s="35">
        <v>14.180000000000078</v>
      </c>
      <c r="F135" s="35">
        <v>25.200000000000045</v>
      </c>
      <c r="G135" s="35">
        <v>1E+30</v>
      </c>
      <c r="H135" s="35">
        <v>14.180000000000078</v>
      </c>
    </row>
    <row r="136" spans="2:8" x14ac:dyDescent="0.3">
      <c r="B136" s="35" t="s">
        <v>443</v>
      </c>
      <c r="C136" s="35" t="s">
        <v>161</v>
      </c>
      <c r="D136" s="35">
        <v>0</v>
      </c>
      <c r="E136" s="35">
        <v>20.38000000000001</v>
      </c>
      <c r="F136" s="35">
        <v>33</v>
      </c>
      <c r="G136" s="35">
        <v>1E+30</v>
      </c>
      <c r="H136" s="35">
        <v>20.38000000000001</v>
      </c>
    </row>
    <row r="137" spans="2:8" x14ac:dyDescent="0.3">
      <c r="B137" s="35" t="s">
        <v>444</v>
      </c>
      <c r="C137" s="35" t="s">
        <v>163</v>
      </c>
      <c r="D137" s="35">
        <v>0</v>
      </c>
      <c r="E137" s="35">
        <v>32.88000000000001</v>
      </c>
      <c r="F137" s="35">
        <v>44.5</v>
      </c>
      <c r="G137" s="35">
        <v>1E+30</v>
      </c>
      <c r="H137" s="35">
        <v>32.88000000000001</v>
      </c>
    </row>
    <row r="138" spans="2:8" x14ac:dyDescent="0.3">
      <c r="B138" s="35" t="s">
        <v>445</v>
      </c>
      <c r="C138" s="35" t="s">
        <v>165</v>
      </c>
      <c r="D138" s="35">
        <v>0</v>
      </c>
      <c r="E138" s="35">
        <v>21.679999999999964</v>
      </c>
      <c r="F138" s="35">
        <v>32.799999999999955</v>
      </c>
      <c r="G138" s="35">
        <v>1E+30</v>
      </c>
      <c r="H138" s="35">
        <v>21.679999999999964</v>
      </c>
    </row>
    <row r="139" spans="2:8" x14ac:dyDescent="0.3">
      <c r="B139" s="35" t="s">
        <v>446</v>
      </c>
      <c r="C139" s="35" t="s">
        <v>167</v>
      </c>
      <c r="D139" s="35">
        <v>0</v>
      </c>
      <c r="E139" s="35">
        <v>5.8800000000000097</v>
      </c>
      <c r="F139" s="35">
        <v>15.5</v>
      </c>
      <c r="G139" s="35">
        <v>1E+30</v>
      </c>
      <c r="H139" s="35">
        <v>5.8800000000000097</v>
      </c>
    </row>
    <row r="140" spans="2:8" x14ac:dyDescent="0.3">
      <c r="B140" s="35" t="s">
        <v>447</v>
      </c>
      <c r="C140" s="35" t="s">
        <v>169</v>
      </c>
      <c r="D140" s="35">
        <v>0</v>
      </c>
      <c r="E140" s="35">
        <v>34.780000000000044</v>
      </c>
      <c r="F140" s="35">
        <v>47.700000000000045</v>
      </c>
      <c r="G140" s="35">
        <v>1E+30</v>
      </c>
      <c r="H140" s="35">
        <v>34.780000000000044</v>
      </c>
    </row>
    <row r="141" spans="2:8" x14ac:dyDescent="0.3">
      <c r="B141" s="35" t="s">
        <v>448</v>
      </c>
      <c r="C141" s="35" t="s">
        <v>171</v>
      </c>
      <c r="D141" s="35">
        <v>0</v>
      </c>
      <c r="E141" s="35">
        <v>15.349999999999994</v>
      </c>
      <c r="F141" s="35">
        <v>27</v>
      </c>
      <c r="G141" s="35">
        <v>1E+30</v>
      </c>
      <c r="H141" s="35">
        <v>15.349999999999994</v>
      </c>
    </row>
    <row r="142" spans="2:8" x14ac:dyDescent="0.3">
      <c r="B142" s="35" t="s">
        <v>449</v>
      </c>
      <c r="C142" s="35" t="s">
        <v>173</v>
      </c>
      <c r="D142" s="35">
        <v>0</v>
      </c>
      <c r="E142" s="35">
        <v>20.05000000000004</v>
      </c>
      <c r="F142" s="35">
        <v>33.200000000000045</v>
      </c>
      <c r="G142" s="35">
        <v>1E+30</v>
      </c>
      <c r="H142" s="35">
        <v>20.05000000000004</v>
      </c>
    </row>
    <row r="143" spans="2:8" x14ac:dyDescent="0.3">
      <c r="B143" s="35" t="s">
        <v>450</v>
      </c>
      <c r="C143" s="35" t="s">
        <v>175</v>
      </c>
      <c r="D143" s="35">
        <v>0</v>
      </c>
      <c r="E143" s="35">
        <v>17.199999999999989</v>
      </c>
      <c r="F143" s="35">
        <v>47</v>
      </c>
      <c r="G143" s="35">
        <v>1E+30</v>
      </c>
      <c r="H143" s="35">
        <v>17.199999999999989</v>
      </c>
    </row>
    <row r="144" spans="2:8" x14ac:dyDescent="0.3">
      <c r="B144" s="35" t="s">
        <v>451</v>
      </c>
      <c r="C144" s="35" t="s">
        <v>177</v>
      </c>
      <c r="D144" s="35">
        <v>0</v>
      </c>
      <c r="E144" s="35">
        <v>21.80000000000004</v>
      </c>
      <c r="F144" s="35">
        <v>33.200000000000045</v>
      </c>
      <c r="G144" s="35">
        <v>1E+30</v>
      </c>
      <c r="H144" s="35">
        <v>21.80000000000004</v>
      </c>
    </row>
    <row r="145" spans="2:8" x14ac:dyDescent="0.3">
      <c r="B145" s="35" t="s">
        <v>452</v>
      </c>
      <c r="C145" s="35" t="s">
        <v>179</v>
      </c>
      <c r="D145" s="35">
        <v>0</v>
      </c>
      <c r="E145" s="35">
        <v>6.8499999999999943</v>
      </c>
      <c r="F145" s="35">
        <v>16.5</v>
      </c>
      <c r="G145" s="35">
        <v>1E+30</v>
      </c>
      <c r="H145" s="35">
        <v>6.8499999999999943</v>
      </c>
    </row>
    <row r="146" spans="2:8" x14ac:dyDescent="0.3">
      <c r="B146" s="35" t="s">
        <v>453</v>
      </c>
      <c r="C146" s="35" t="s">
        <v>181</v>
      </c>
      <c r="D146" s="35">
        <v>0</v>
      </c>
      <c r="E146" s="35">
        <v>38.249999999999858</v>
      </c>
      <c r="F146" s="35">
        <v>49.399999999999864</v>
      </c>
      <c r="G146" s="35">
        <v>1E+30</v>
      </c>
      <c r="H146" s="35">
        <v>38.249999999999858</v>
      </c>
    </row>
    <row r="147" spans="2:8" x14ac:dyDescent="0.3">
      <c r="B147" s="35" t="s">
        <v>454</v>
      </c>
      <c r="C147" s="35" t="s">
        <v>147</v>
      </c>
      <c r="D147" s="35">
        <v>0</v>
      </c>
      <c r="E147" s="35">
        <v>1.5</v>
      </c>
      <c r="F147" s="35">
        <v>27.5</v>
      </c>
      <c r="G147" s="35">
        <v>1E+30</v>
      </c>
      <c r="H147" s="35">
        <v>1.5</v>
      </c>
    </row>
    <row r="148" spans="2:8" x14ac:dyDescent="0.3">
      <c r="B148" s="35" t="s">
        <v>455</v>
      </c>
      <c r="C148" s="35" t="s">
        <v>149</v>
      </c>
      <c r="D148" s="35">
        <v>0</v>
      </c>
      <c r="E148" s="35">
        <v>0</v>
      </c>
      <c r="F148" s="35">
        <v>27.5</v>
      </c>
      <c r="G148" s="35">
        <v>1.5</v>
      </c>
      <c r="H148" s="35">
        <v>16.100000000000009</v>
      </c>
    </row>
    <row r="149" spans="2:8" x14ac:dyDescent="0.3">
      <c r="B149" s="35" t="s">
        <v>456</v>
      </c>
      <c r="C149" s="35" t="s">
        <v>151</v>
      </c>
      <c r="D149" s="35">
        <v>0</v>
      </c>
      <c r="E149" s="35">
        <v>6.6000000000000227</v>
      </c>
      <c r="F149" s="35">
        <v>33</v>
      </c>
      <c r="G149" s="35">
        <v>1E+30</v>
      </c>
      <c r="H149" s="35">
        <v>6.6000000000000227</v>
      </c>
    </row>
    <row r="150" spans="2:8" x14ac:dyDescent="0.3">
      <c r="B150" s="35" t="s">
        <v>457</v>
      </c>
      <c r="C150" s="35" t="s">
        <v>153</v>
      </c>
      <c r="D150" s="35">
        <v>0</v>
      </c>
      <c r="E150" s="35">
        <v>4.0500000000001819</v>
      </c>
      <c r="F150" s="35">
        <v>30.800000000000182</v>
      </c>
      <c r="G150" s="35">
        <v>1E+30</v>
      </c>
      <c r="H150" s="35">
        <v>4.0500000000001819</v>
      </c>
    </row>
    <row r="151" spans="2:8" x14ac:dyDescent="0.3">
      <c r="B151" s="35" t="s">
        <v>458</v>
      </c>
      <c r="C151" s="35" t="s">
        <v>155</v>
      </c>
      <c r="D151" s="35">
        <v>0</v>
      </c>
      <c r="E151" s="35">
        <v>8.75</v>
      </c>
      <c r="F151" s="35">
        <v>33</v>
      </c>
      <c r="G151" s="35">
        <v>1E+30</v>
      </c>
      <c r="H151" s="35">
        <v>8.75</v>
      </c>
    </row>
    <row r="152" spans="2:8" x14ac:dyDescent="0.3">
      <c r="B152" s="35" t="s">
        <v>459</v>
      </c>
      <c r="C152" s="35" t="s">
        <v>157</v>
      </c>
      <c r="D152" s="35">
        <v>0</v>
      </c>
      <c r="E152" s="35">
        <v>6.6999999999998181</v>
      </c>
      <c r="F152" s="35">
        <v>35.199999999999818</v>
      </c>
      <c r="G152" s="35">
        <v>1E+30</v>
      </c>
      <c r="H152" s="35">
        <v>6.6999999999998181</v>
      </c>
    </row>
    <row r="153" spans="2:8" x14ac:dyDescent="0.3">
      <c r="B153" s="35" t="s">
        <v>460</v>
      </c>
      <c r="C153" s="35" t="s">
        <v>159</v>
      </c>
      <c r="D153" s="35">
        <v>0</v>
      </c>
      <c r="E153" s="35">
        <v>1.3000000000002956</v>
      </c>
      <c r="F153" s="35">
        <v>28.200000000000273</v>
      </c>
      <c r="G153" s="35">
        <v>1E+30</v>
      </c>
      <c r="H153" s="35">
        <v>1.3000000000002956</v>
      </c>
    </row>
    <row r="154" spans="2:8" x14ac:dyDescent="0.3">
      <c r="B154" s="35" t="s">
        <v>461</v>
      </c>
      <c r="C154" s="35" t="s">
        <v>161</v>
      </c>
      <c r="D154" s="35">
        <v>0</v>
      </c>
      <c r="E154" s="35">
        <v>0</v>
      </c>
      <c r="F154" s="35">
        <v>28.5</v>
      </c>
      <c r="G154" s="35">
        <v>1.3000000000002956</v>
      </c>
      <c r="H154" s="35">
        <v>15.599999999999994</v>
      </c>
    </row>
    <row r="155" spans="2:8" x14ac:dyDescent="0.3">
      <c r="B155" s="35" t="s">
        <v>462</v>
      </c>
      <c r="C155" s="35" t="s">
        <v>163</v>
      </c>
      <c r="D155" s="35">
        <v>0</v>
      </c>
      <c r="E155" s="35">
        <v>5.6999999999998181</v>
      </c>
      <c r="F155" s="35">
        <v>33.199999999999818</v>
      </c>
      <c r="G155" s="35">
        <v>1E+30</v>
      </c>
      <c r="H155" s="35">
        <v>5.6999999999998181</v>
      </c>
    </row>
    <row r="156" spans="2:8" x14ac:dyDescent="0.3">
      <c r="B156" s="35" t="s">
        <v>463</v>
      </c>
      <c r="C156" s="35" t="s">
        <v>165</v>
      </c>
      <c r="D156" s="35">
        <v>0</v>
      </c>
      <c r="E156" s="35">
        <v>4.1999999999998181</v>
      </c>
      <c r="F156" s="35">
        <v>31.199999999999818</v>
      </c>
      <c r="G156" s="35">
        <v>1E+30</v>
      </c>
      <c r="H156" s="35">
        <v>4.1999999999998181</v>
      </c>
    </row>
    <row r="157" spans="2:8" x14ac:dyDescent="0.3">
      <c r="B157" s="35" t="s">
        <v>464</v>
      </c>
      <c r="C157" s="35" t="s">
        <v>167</v>
      </c>
      <c r="D157" s="35">
        <v>0</v>
      </c>
      <c r="E157" s="35">
        <v>8.5</v>
      </c>
      <c r="F157" s="35">
        <v>34</v>
      </c>
      <c r="G157" s="35">
        <v>1E+30</v>
      </c>
      <c r="H157" s="35">
        <v>8.5</v>
      </c>
    </row>
    <row r="158" spans="2:8" x14ac:dyDescent="0.3">
      <c r="B158" s="35" t="s">
        <v>465</v>
      </c>
      <c r="C158" s="35" t="s">
        <v>169</v>
      </c>
      <c r="D158" s="35">
        <v>0</v>
      </c>
      <c r="E158" s="35">
        <v>8.1000000000000796</v>
      </c>
      <c r="F158" s="35">
        <v>36.900000000000091</v>
      </c>
      <c r="G158" s="35">
        <v>1E+30</v>
      </c>
      <c r="H158" s="35">
        <v>8.1000000000000796</v>
      </c>
    </row>
    <row r="159" spans="2:8" x14ac:dyDescent="0.3">
      <c r="B159" s="35" t="s">
        <v>466</v>
      </c>
      <c r="C159" s="35" t="s">
        <v>171</v>
      </c>
      <c r="D159" s="35">
        <v>0</v>
      </c>
      <c r="E159" s="35">
        <v>14.349999999999824</v>
      </c>
      <c r="F159" s="35">
        <v>30</v>
      </c>
      <c r="G159" s="35">
        <v>1E+30</v>
      </c>
      <c r="H159" s="35">
        <v>14.349999999999824</v>
      </c>
    </row>
    <row r="160" spans="2:8" x14ac:dyDescent="0.3">
      <c r="B160" s="35" t="s">
        <v>467</v>
      </c>
      <c r="C160" s="35" t="s">
        <v>173</v>
      </c>
      <c r="D160" s="35">
        <v>0</v>
      </c>
      <c r="E160" s="35">
        <v>11.849999999999824</v>
      </c>
      <c r="F160" s="35">
        <v>29</v>
      </c>
      <c r="G160" s="35">
        <v>1E+30</v>
      </c>
      <c r="H160" s="35">
        <v>11.849999999999824</v>
      </c>
    </row>
    <row r="161" spans="2:8" x14ac:dyDescent="0.3">
      <c r="B161" s="35" t="s">
        <v>468</v>
      </c>
      <c r="C161" s="35" t="s">
        <v>175</v>
      </c>
      <c r="D161" s="35">
        <v>0</v>
      </c>
      <c r="E161" s="35">
        <v>0</v>
      </c>
      <c r="F161" s="35">
        <v>33.800000000000182</v>
      </c>
      <c r="G161" s="35">
        <v>11.849999999999824</v>
      </c>
      <c r="H161" s="35">
        <v>3.7000000000001734</v>
      </c>
    </row>
    <row r="162" spans="2:8" x14ac:dyDescent="0.3">
      <c r="B162" s="35" t="s">
        <v>469</v>
      </c>
      <c r="C162" s="35" t="s">
        <v>177</v>
      </c>
      <c r="D162" s="35">
        <v>0</v>
      </c>
      <c r="E162" s="35">
        <v>14.699999999999733</v>
      </c>
      <c r="F162" s="35">
        <v>30.099999999999909</v>
      </c>
      <c r="G162" s="35">
        <v>1E+30</v>
      </c>
      <c r="H162" s="35">
        <v>14.699999999999733</v>
      </c>
    </row>
    <row r="163" spans="2:8" x14ac:dyDescent="0.3">
      <c r="B163" s="35" t="s">
        <v>470</v>
      </c>
      <c r="C163" s="35" t="s">
        <v>179</v>
      </c>
      <c r="D163" s="35">
        <v>0</v>
      </c>
      <c r="E163" s="35">
        <v>18.299999999999642</v>
      </c>
      <c r="F163" s="35">
        <v>31.949999999999818</v>
      </c>
      <c r="G163" s="35">
        <v>1E+30</v>
      </c>
      <c r="H163" s="35">
        <v>18.299999999999642</v>
      </c>
    </row>
    <row r="164" spans="2:8" x14ac:dyDescent="0.3">
      <c r="B164" s="35" t="s">
        <v>471</v>
      </c>
      <c r="C164" s="35" t="s">
        <v>181</v>
      </c>
      <c r="D164" s="35">
        <v>0</v>
      </c>
      <c r="E164" s="35">
        <v>20.050000000000097</v>
      </c>
      <c r="F164" s="35">
        <v>35.200000000000273</v>
      </c>
      <c r="G164" s="35">
        <v>1E+30</v>
      </c>
      <c r="H164" s="35">
        <v>20.050000000000097</v>
      </c>
    </row>
    <row r="165" spans="2:8" x14ac:dyDescent="0.3">
      <c r="B165" s="35" t="s">
        <v>472</v>
      </c>
      <c r="C165" s="35" t="s">
        <v>147</v>
      </c>
      <c r="D165" s="35">
        <v>0</v>
      </c>
      <c r="E165" s="35">
        <v>0</v>
      </c>
      <c r="F165" s="35">
        <v>12.25</v>
      </c>
      <c r="G165" s="35">
        <v>16.5</v>
      </c>
      <c r="H165" s="35">
        <v>1.7000000000000028</v>
      </c>
    </row>
    <row r="166" spans="2:8" x14ac:dyDescent="0.3">
      <c r="B166" s="35" t="s">
        <v>473</v>
      </c>
      <c r="C166" s="35" t="s">
        <v>149</v>
      </c>
      <c r="D166" s="35">
        <v>0</v>
      </c>
      <c r="E166" s="35">
        <v>16.5</v>
      </c>
      <c r="F166" s="35">
        <v>30.25</v>
      </c>
      <c r="G166" s="35">
        <v>1E+30</v>
      </c>
      <c r="H166" s="35">
        <v>16.5</v>
      </c>
    </row>
    <row r="167" spans="2:8" x14ac:dyDescent="0.3">
      <c r="B167" s="35" t="s">
        <v>474</v>
      </c>
      <c r="C167" s="35" t="s">
        <v>151</v>
      </c>
      <c r="D167" s="35">
        <v>0</v>
      </c>
      <c r="E167" s="35">
        <v>17.600000000000023</v>
      </c>
      <c r="F167" s="35">
        <v>30.25</v>
      </c>
      <c r="G167" s="35">
        <v>1E+30</v>
      </c>
      <c r="H167" s="35">
        <v>17.600000000000023</v>
      </c>
    </row>
    <row r="168" spans="2:8" x14ac:dyDescent="0.3">
      <c r="B168" s="35" t="s">
        <v>475</v>
      </c>
      <c r="C168" s="35" t="s">
        <v>153</v>
      </c>
      <c r="D168" s="35">
        <v>0</v>
      </c>
      <c r="E168" s="35">
        <v>17</v>
      </c>
      <c r="F168" s="35">
        <v>30</v>
      </c>
      <c r="G168" s="35">
        <v>1E+30</v>
      </c>
      <c r="H168" s="35">
        <v>17</v>
      </c>
    </row>
    <row r="169" spans="2:8" x14ac:dyDescent="0.3">
      <c r="B169" s="35" t="s">
        <v>476</v>
      </c>
      <c r="C169" s="35" t="s">
        <v>155</v>
      </c>
      <c r="D169" s="35">
        <v>0</v>
      </c>
      <c r="E169" s="35">
        <v>22.5</v>
      </c>
      <c r="F169" s="35">
        <v>33</v>
      </c>
      <c r="G169" s="35">
        <v>1E+30</v>
      </c>
      <c r="H169" s="35">
        <v>22.5</v>
      </c>
    </row>
    <row r="170" spans="2:8" x14ac:dyDescent="0.3">
      <c r="B170" s="35" t="s">
        <v>477</v>
      </c>
      <c r="C170" s="35" t="s">
        <v>157</v>
      </c>
      <c r="D170" s="35">
        <v>0</v>
      </c>
      <c r="E170" s="35">
        <v>17.150000000000091</v>
      </c>
      <c r="F170" s="35">
        <v>31.900000000000091</v>
      </c>
      <c r="G170" s="35">
        <v>1E+30</v>
      </c>
      <c r="H170" s="35">
        <v>17.150000000000091</v>
      </c>
    </row>
    <row r="171" spans="2:8" x14ac:dyDescent="0.3">
      <c r="B171" s="35" t="s">
        <v>478</v>
      </c>
      <c r="C171" s="35" t="s">
        <v>159</v>
      </c>
      <c r="D171" s="35">
        <v>0</v>
      </c>
      <c r="E171" s="35">
        <v>0</v>
      </c>
      <c r="F171" s="35">
        <v>14</v>
      </c>
      <c r="G171" s="35">
        <v>14.899999999999977</v>
      </c>
      <c r="H171" s="35">
        <v>2.3000000000000256</v>
      </c>
    </row>
    <row r="172" spans="2:8" x14ac:dyDescent="0.3">
      <c r="B172" s="35" t="s">
        <v>479</v>
      </c>
      <c r="C172" s="35" t="s">
        <v>161</v>
      </c>
      <c r="D172" s="35">
        <v>0</v>
      </c>
      <c r="E172" s="35">
        <v>14.899999999999977</v>
      </c>
      <c r="F172" s="35">
        <v>30.5</v>
      </c>
      <c r="G172" s="35">
        <v>1E+30</v>
      </c>
      <c r="H172" s="35">
        <v>14.899999999999977</v>
      </c>
    </row>
    <row r="173" spans="2:8" x14ac:dyDescent="0.3">
      <c r="B173" s="35" t="s">
        <v>480</v>
      </c>
      <c r="C173" s="35" t="s">
        <v>163</v>
      </c>
      <c r="D173" s="35">
        <v>0</v>
      </c>
      <c r="E173" s="35">
        <v>15.649999999999977</v>
      </c>
      <c r="F173" s="35">
        <v>30.25</v>
      </c>
      <c r="G173" s="35">
        <v>1E+30</v>
      </c>
      <c r="H173" s="35">
        <v>15.649999999999977</v>
      </c>
    </row>
    <row r="174" spans="2:8" x14ac:dyDescent="0.3">
      <c r="B174" s="35" t="s">
        <v>481</v>
      </c>
      <c r="C174" s="35" t="s">
        <v>165</v>
      </c>
      <c r="D174" s="35">
        <v>0</v>
      </c>
      <c r="E174" s="35">
        <v>15.899999999999977</v>
      </c>
      <c r="F174" s="35">
        <v>30</v>
      </c>
      <c r="G174" s="35">
        <v>1E+30</v>
      </c>
      <c r="H174" s="35">
        <v>15.899999999999977</v>
      </c>
    </row>
    <row r="175" spans="2:8" x14ac:dyDescent="0.3">
      <c r="B175" s="35" t="s">
        <v>482</v>
      </c>
      <c r="C175" s="35" t="s">
        <v>167</v>
      </c>
      <c r="D175" s="35">
        <v>0</v>
      </c>
      <c r="E175" s="35">
        <v>20.149999999999977</v>
      </c>
      <c r="F175" s="35">
        <v>32.75</v>
      </c>
      <c r="G175" s="35">
        <v>1E+30</v>
      </c>
      <c r="H175" s="35">
        <v>20.149999999999977</v>
      </c>
    </row>
    <row r="176" spans="2:8" x14ac:dyDescent="0.3">
      <c r="B176" s="35" t="s">
        <v>483</v>
      </c>
      <c r="C176" s="35" t="s">
        <v>169</v>
      </c>
      <c r="D176" s="35">
        <v>0</v>
      </c>
      <c r="E176" s="35">
        <v>15.699999999999875</v>
      </c>
      <c r="F176" s="35">
        <v>31.599999999999909</v>
      </c>
      <c r="G176" s="35">
        <v>1E+30</v>
      </c>
      <c r="H176" s="35">
        <v>15.699999999999875</v>
      </c>
    </row>
    <row r="177" spans="2:8" x14ac:dyDescent="0.3">
      <c r="B177" s="35" t="s">
        <v>484</v>
      </c>
      <c r="C177" s="35" t="s">
        <v>171</v>
      </c>
      <c r="D177" s="35">
        <v>0</v>
      </c>
      <c r="E177" s="35">
        <v>1.6500000000000057</v>
      </c>
      <c r="F177" s="35">
        <v>14</v>
      </c>
      <c r="G177" s="35">
        <v>1E+30</v>
      </c>
      <c r="H177" s="35">
        <v>1.6500000000000057</v>
      </c>
    </row>
    <row r="178" spans="2:8" x14ac:dyDescent="0.3">
      <c r="B178" s="35" t="s">
        <v>485</v>
      </c>
      <c r="C178" s="35" t="s">
        <v>173</v>
      </c>
      <c r="D178" s="35">
        <v>0</v>
      </c>
      <c r="E178" s="35">
        <v>16.650000000000006</v>
      </c>
      <c r="F178" s="35">
        <v>30.5</v>
      </c>
      <c r="G178" s="35">
        <v>1E+30</v>
      </c>
      <c r="H178" s="35">
        <v>16.650000000000006</v>
      </c>
    </row>
    <row r="179" spans="2:8" x14ac:dyDescent="0.3">
      <c r="B179" s="35" t="s">
        <v>486</v>
      </c>
      <c r="C179" s="35" t="s">
        <v>175</v>
      </c>
      <c r="D179" s="35">
        <v>12500</v>
      </c>
      <c r="E179" s="35">
        <v>0</v>
      </c>
      <c r="F179" s="35">
        <v>30.5</v>
      </c>
      <c r="G179" s="35">
        <v>3.7000000000001734</v>
      </c>
      <c r="H179" s="35">
        <v>9.1500000000000057</v>
      </c>
    </row>
    <row r="180" spans="2:8" x14ac:dyDescent="0.3">
      <c r="B180" s="35" t="s">
        <v>487</v>
      </c>
      <c r="C180" s="35" t="s">
        <v>177</v>
      </c>
      <c r="D180" s="35">
        <v>0</v>
      </c>
      <c r="E180" s="35">
        <v>17.900000000000006</v>
      </c>
      <c r="F180" s="35">
        <v>30</v>
      </c>
      <c r="G180" s="35">
        <v>1E+30</v>
      </c>
      <c r="H180" s="35">
        <v>17.900000000000006</v>
      </c>
    </row>
    <row r="181" spans="2:8" x14ac:dyDescent="0.3">
      <c r="B181" s="35" t="s">
        <v>488</v>
      </c>
      <c r="C181" s="35" t="s">
        <v>179</v>
      </c>
      <c r="D181" s="35">
        <v>0</v>
      </c>
      <c r="E181" s="35">
        <v>22.400000000000006</v>
      </c>
      <c r="F181" s="35">
        <v>32.75</v>
      </c>
      <c r="G181" s="35">
        <v>1E+30</v>
      </c>
      <c r="H181" s="35">
        <v>22.400000000000006</v>
      </c>
    </row>
    <row r="182" spans="2:8" x14ac:dyDescent="0.3">
      <c r="B182" s="35" t="s">
        <v>489</v>
      </c>
      <c r="C182" s="35" t="s">
        <v>181</v>
      </c>
      <c r="D182" s="35">
        <v>0</v>
      </c>
      <c r="E182" s="35">
        <v>20.400000000000006</v>
      </c>
      <c r="F182" s="35">
        <v>32.25</v>
      </c>
      <c r="G182" s="35">
        <v>1E+30</v>
      </c>
      <c r="H182" s="35">
        <v>20.400000000000006</v>
      </c>
    </row>
    <row r="183" spans="2:8" x14ac:dyDescent="0.3">
      <c r="B183" s="35" t="s">
        <v>490</v>
      </c>
      <c r="C183" s="35" t="s">
        <v>147</v>
      </c>
      <c r="D183" s="35">
        <v>0</v>
      </c>
      <c r="E183" s="35">
        <v>2.0500000000001819</v>
      </c>
      <c r="F183" s="35">
        <v>30.800000000000182</v>
      </c>
      <c r="G183" s="35">
        <v>1E+30</v>
      </c>
      <c r="H183" s="35">
        <v>2.0500000000001819</v>
      </c>
    </row>
    <row r="184" spans="2:8" x14ac:dyDescent="0.3">
      <c r="B184" s="35" t="s">
        <v>491</v>
      </c>
      <c r="C184" s="35" t="s">
        <v>149</v>
      </c>
      <c r="D184" s="35">
        <v>0</v>
      </c>
      <c r="E184" s="35">
        <v>0</v>
      </c>
      <c r="F184" s="35">
        <v>30.25</v>
      </c>
      <c r="G184" s="35">
        <v>2.0500000000001819</v>
      </c>
      <c r="H184" s="35">
        <v>18.199999999999989</v>
      </c>
    </row>
    <row r="185" spans="2:8" x14ac:dyDescent="0.3">
      <c r="B185" s="35" t="s">
        <v>492</v>
      </c>
      <c r="C185" s="35" t="s">
        <v>151</v>
      </c>
      <c r="D185" s="35">
        <v>0</v>
      </c>
      <c r="E185" s="35">
        <v>9.3500000000000227</v>
      </c>
      <c r="F185" s="35">
        <v>38.5</v>
      </c>
      <c r="G185" s="35">
        <v>1E+30</v>
      </c>
      <c r="H185" s="35">
        <v>9.3500000000000227</v>
      </c>
    </row>
    <row r="186" spans="2:8" x14ac:dyDescent="0.3">
      <c r="B186" s="35" t="s">
        <v>493</v>
      </c>
      <c r="C186" s="35" t="s">
        <v>153</v>
      </c>
      <c r="D186" s="35">
        <v>0</v>
      </c>
      <c r="E186" s="35">
        <v>9</v>
      </c>
      <c r="F186" s="35">
        <v>38.5</v>
      </c>
      <c r="G186" s="35">
        <v>1E+30</v>
      </c>
      <c r="H186" s="35">
        <v>9</v>
      </c>
    </row>
    <row r="187" spans="2:8" x14ac:dyDescent="0.3">
      <c r="B187" s="35" t="s">
        <v>494</v>
      </c>
      <c r="C187" s="35" t="s">
        <v>155</v>
      </c>
      <c r="D187" s="35">
        <v>0</v>
      </c>
      <c r="E187" s="35">
        <v>36.25</v>
      </c>
      <c r="F187" s="35">
        <v>63.25</v>
      </c>
      <c r="G187" s="35">
        <v>1E+30</v>
      </c>
      <c r="H187" s="35">
        <v>36.25</v>
      </c>
    </row>
    <row r="188" spans="2:8" x14ac:dyDescent="0.3">
      <c r="B188" s="35" t="s">
        <v>495</v>
      </c>
      <c r="C188" s="35" t="s">
        <v>157</v>
      </c>
      <c r="D188" s="35">
        <v>0</v>
      </c>
      <c r="E188" s="35">
        <v>12.75</v>
      </c>
      <c r="F188" s="35">
        <v>44</v>
      </c>
      <c r="G188" s="35">
        <v>1E+30</v>
      </c>
      <c r="H188" s="35">
        <v>12.75</v>
      </c>
    </row>
    <row r="189" spans="2:8" x14ac:dyDescent="0.3">
      <c r="B189" s="35" t="s">
        <v>496</v>
      </c>
      <c r="C189" s="35" t="s">
        <v>159</v>
      </c>
      <c r="D189" s="35">
        <v>0</v>
      </c>
      <c r="E189" s="35">
        <v>20.300000000000026</v>
      </c>
      <c r="F189" s="35">
        <v>32</v>
      </c>
      <c r="G189" s="35">
        <v>1E+30</v>
      </c>
      <c r="H189" s="35">
        <v>20.300000000000026</v>
      </c>
    </row>
    <row r="190" spans="2:8" x14ac:dyDescent="0.3">
      <c r="B190" s="35" t="s">
        <v>497</v>
      </c>
      <c r="C190" s="35" t="s">
        <v>161</v>
      </c>
      <c r="D190" s="35">
        <v>0</v>
      </c>
      <c r="E190" s="35">
        <v>18.200000000000003</v>
      </c>
      <c r="F190" s="35">
        <v>31.5</v>
      </c>
      <c r="G190" s="35">
        <v>1E+30</v>
      </c>
      <c r="H190" s="35">
        <v>18.200000000000003</v>
      </c>
    </row>
    <row r="191" spans="2:8" x14ac:dyDescent="0.3">
      <c r="B191" s="35" t="s">
        <v>498</v>
      </c>
      <c r="C191" s="35" t="s">
        <v>163</v>
      </c>
      <c r="D191" s="35">
        <v>0</v>
      </c>
      <c r="E191" s="35">
        <v>26.450000000000003</v>
      </c>
      <c r="F191" s="35">
        <v>38.75</v>
      </c>
      <c r="G191" s="35">
        <v>1E+30</v>
      </c>
      <c r="H191" s="35">
        <v>26.450000000000003</v>
      </c>
    </row>
    <row r="192" spans="2:8" x14ac:dyDescent="0.3">
      <c r="B192" s="35" t="s">
        <v>499</v>
      </c>
      <c r="C192" s="35" t="s">
        <v>165</v>
      </c>
      <c r="D192" s="35">
        <v>0</v>
      </c>
      <c r="E192" s="35">
        <v>26.950000000000003</v>
      </c>
      <c r="F192" s="35">
        <v>38.75</v>
      </c>
      <c r="G192" s="35">
        <v>1E+30</v>
      </c>
      <c r="H192" s="35">
        <v>26.950000000000003</v>
      </c>
    </row>
    <row r="193" spans="1:8" x14ac:dyDescent="0.3">
      <c r="B193" s="35" t="s">
        <v>500</v>
      </c>
      <c r="C193" s="35" t="s">
        <v>167</v>
      </c>
      <c r="D193" s="35">
        <v>0</v>
      </c>
      <c r="E193" s="35">
        <v>50.95</v>
      </c>
      <c r="F193" s="35">
        <v>61.25</v>
      </c>
      <c r="G193" s="35">
        <v>1E+30</v>
      </c>
      <c r="H193" s="35">
        <v>50.95</v>
      </c>
    </row>
    <row r="194" spans="1:8" x14ac:dyDescent="0.3">
      <c r="B194" s="35" t="s">
        <v>501</v>
      </c>
      <c r="C194" s="35" t="s">
        <v>169</v>
      </c>
      <c r="D194" s="35">
        <v>0</v>
      </c>
      <c r="E194" s="35">
        <v>29.899999999999991</v>
      </c>
      <c r="F194" s="35">
        <v>43.5</v>
      </c>
      <c r="G194" s="35">
        <v>1E+30</v>
      </c>
      <c r="H194" s="35">
        <v>29.899999999999991</v>
      </c>
    </row>
    <row r="195" spans="1:8" x14ac:dyDescent="0.3">
      <c r="B195" s="35" t="s">
        <v>605</v>
      </c>
      <c r="C195" s="35" t="s">
        <v>171</v>
      </c>
      <c r="D195" s="35">
        <v>0</v>
      </c>
      <c r="E195" s="35">
        <v>11.150000000000006</v>
      </c>
      <c r="F195" s="35">
        <v>32</v>
      </c>
      <c r="G195" s="35">
        <v>1E+30</v>
      </c>
      <c r="H195" s="35">
        <v>11.150000000000006</v>
      </c>
    </row>
    <row r="196" spans="1:8" x14ac:dyDescent="0.3">
      <c r="B196" s="35" t="s">
        <v>606</v>
      </c>
      <c r="C196" s="35" t="s">
        <v>173</v>
      </c>
      <c r="D196" s="35">
        <v>0</v>
      </c>
      <c r="E196" s="35">
        <v>9.1500000000000057</v>
      </c>
      <c r="F196" s="35">
        <v>31.5</v>
      </c>
      <c r="G196" s="35">
        <v>1E+30</v>
      </c>
      <c r="H196" s="35">
        <v>9.1500000000000057</v>
      </c>
    </row>
    <row r="197" spans="1:8" x14ac:dyDescent="0.3">
      <c r="B197" s="35" t="s">
        <v>607</v>
      </c>
      <c r="C197" s="35" t="s">
        <v>175</v>
      </c>
      <c r="D197" s="35">
        <v>0</v>
      </c>
      <c r="E197" s="35">
        <v>0</v>
      </c>
      <c r="F197" s="35">
        <v>39</v>
      </c>
      <c r="G197" s="35">
        <v>9.1500000000000057</v>
      </c>
      <c r="H197" s="35">
        <v>8.5</v>
      </c>
    </row>
    <row r="198" spans="1:8" x14ac:dyDescent="0.3">
      <c r="B198" s="35" t="s">
        <v>608</v>
      </c>
      <c r="C198" s="35" t="s">
        <v>177</v>
      </c>
      <c r="D198" s="35">
        <v>0</v>
      </c>
      <c r="E198" s="35">
        <v>18.400000000000006</v>
      </c>
      <c r="F198" s="35">
        <v>39</v>
      </c>
      <c r="G198" s="35">
        <v>1E+30</v>
      </c>
      <c r="H198" s="35">
        <v>18.400000000000006</v>
      </c>
    </row>
    <row r="199" spans="1:8" x14ac:dyDescent="0.3">
      <c r="B199" s="35" t="s">
        <v>609</v>
      </c>
      <c r="C199" s="35" t="s">
        <v>179</v>
      </c>
      <c r="D199" s="35">
        <v>0</v>
      </c>
      <c r="E199" s="35">
        <v>42.650000000000006</v>
      </c>
      <c r="F199" s="35">
        <v>61.5</v>
      </c>
      <c r="G199" s="35">
        <v>1E+30</v>
      </c>
      <c r="H199" s="35">
        <v>42.650000000000006</v>
      </c>
    </row>
    <row r="200" spans="1:8" ht="15" thickBot="1" x14ac:dyDescent="0.35">
      <c r="B200" s="33" t="s">
        <v>610</v>
      </c>
      <c r="C200" s="33" t="s">
        <v>181</v>
      </c>
      <c r="D200" s="33">
        <v>0</v>
      </c>
      <c r="E200" s="33">
        <v>23.449999999999733</v>
      </c>
      <c r="F200" s="33">
        <v>43.799999999999727</v>
      </c>
      <c r="G200" s="33">
        <v>1E+30</v>
      </c>
      <c r="H200" s="33">
        <v>23.449999999999733</v>
      </c>
    </row>
    <row r="202" spans="1:8" ht="15" thickBot="1" x14ac:dyDescent="0.35">
      <c r="A202" t="s">
        <v>308</v>
      </c>
    </row>
    <row r="203" spans="1:8" x14ac:dyDescent="0.3">
      <c r="B203" s="37"/>
      <c r="C203" s="37"/>
      <c r="D203" s="37" t="s">
        <v>414</v>
      </c>
      <c r="E203" s="37" t="s">
        <v>422</v>
      </c>
      <c r="F203" s="37" t="s">
        <v>423</v>
      </c>
      <c r="G203" s="37" t="s">
        <v>416</v>
      </c>
      <c r="H203" s="37" t="s">
        <v>416</v>
      </c>
    </row>
    <row r="204" spans="1:8" ht="15" thickBot="1" x14ac:dyDescent="0.35">
      <c r="B204" s="38" t="s">
        <v>77</v>
      </c>
      <c r="C204" s="38" t="s">
        <v>78</v>
      </c>
      <c r="D204" s="38" t="s">
        <v>417</v>
      </c>
      <c r="E204" s="38" t="s">
        <v>424</v>
      </c>
      <c r="F204" s="38" t="s">
        <v>425</v>
      </c>
      <c r="G204" s="38" t="s">
        <v>420</v>
      </c>
      <c r="H204" s="38" t="s">
        <v>421</v>
      </c>
    </row>
    <row r="205" spans="1:8" x14ac:dyDescent="0.3">
      <c r="B205" s="35" t="s">
        <v>611</v>
      </c>
      <c r="C205" s="35" t="s">
        <v>48</v>
      </c>
      <c r="D205" s="35">
        <v>10000</v>
      </c>
      <c r="E205" s="35">
        <v>11.75</v>
      </c>
      <c r="F205" s="35">
        <v>10000</v>
      </c>
      <c r="G205" s="35">
        <v>2500</v>
      </c>
      <c r="H205" s="35">
        <v>10000</v>
      </c>
    </row>
    <row r="206" spans="1:8" x14ac:dyDescent="0.3">
      <c r="B206" s="35" t="s">
        <v>613</v>
      </c>
      <c r="C206" s="35" t="s">
        <v>48</v>
      </c>
      <c r="D206" s="35">
        <v>7500</v>
      </c>
      <c r="E206" s="35">
        <v>12.899999999999977</v>
      </c>
      <c r="F206" s="35">
        <v>7500</v>
      </c>
      <c r="G206" s="35">
        <v>32500</v>
      </c>
      <c r="H206" s="35">
        <v>7500</v>
      </c>
    </row>
    <row r="207" spans="1:8" x14ac:dyDescent="0.3">
      <c r="B207" s="35" t="s">
        <v>615</v>
      </c>
      <c r="C207" s="35" t="s">
        <v>48</v>
      </c>
      <c r="D207" s="35">
        <v>10000</v>
      </c>
      <c r="E207" s="35">
        <v>13.75</v>
      </c>
      <c r="F207" s="35">
        <v>10000</v>
      </c>
      <c r="G207" s="35">
        <v>15000</v>
      </c>
      <c r="H207" s="35">
        <v>10000</v>
      </c>
    </row>
    <row r="208" spans="1:8" x14ac:dyDescent="0.3">
      <c r="B208" s="35" t="s">
        <v>617</v>
      </c>
      <c r="C208" s="35" t="s">
        <v>48</v>
      </c>
      <c r="D208" s="35">
        <v>27500</v>
      </c>
      <c r="E208" s="35">
        <v>13.25</v>
      </c>
      <c r="F208" s="35">
        <v>27500</v>
      </c>
      <c r="G208" s="35">
        <v>2500</v>
      </c>
      <c r="H208" s="35">
        <v>20000</v>
      </c>
    </row>
    <row r="209" spans="2:8" x14ac:dyDescent="0.3">
      <c r="B209" s="35" t="s">
        <v>619</v>
      </c>
      <c r="C209" s="35" t="s">
        <v>48</v>
      </c>
      <c r="D209" s="35">
        <v>12500</v>
      </c>
      <c r="E209" s="35">
        <v>14.5</v>
      </c>
      <c r="F209" s="35">
        <v>12500</v>
      </c>
      <c r="G209" s="35">
        <v>2500</v>
      </c>
      <c r="H209" s="35">
        <v>12500</v>
      </c>
    </row>
    <row r="210" spans="2:8" x14ac:dyDescent="0.3">
      <c r="B210" s="35" t="s">
        <v>621</v>
      </c>
      <c r="C210" s="35" t="s">
        <v>48</v>
      </c>
      <c r="D210" s="35">
        <v>22500</v>
      </c>
      <c r="E210" s="35">
        <v>15.25</v>
      </c>
      <c r="F210" s="35">
        <v>22500</v>
      </c>
      <c r="G210" s="35">
        <v>15000</v>
      </c>
      <c r="H210" s="35">
        <v>20000</v>
      </c>
    </row>
    <row r="211" spans="2:8" x14ac:dyDescent="0.3">
      <c r="B211" s="35" t="s">
        <v>623</v>
      </c>
      <c r="C211" s="35" t="s">
        <v>48</v>
      </c>
      <c r="D211" s="35">
        <v>25000</v>
      </c>
      <c r="E211" s="35">
        <v>12.149999999999977</v>
      </c>
      <c r="F211" s="35">
        <v>25000</v>
      </c>
      <c r="G211" s="35">
        <v>2500</v>
      </c>
      <c r="H211" s="35">
        <v>10000</v>
      </c>
    </row>
    <row r="212" spans="2:8" x14ac:dyDescent="0.3">
      <c r="B212" s="35" t="s">
        <v>502</v>
      </c>
      <c r="C212" s="35" t="s">
        <v>48</v>
      </c>
      <c r="D212" s="35">
        <v>25000</v>
      </c>
      <c r="E212" s="35">
        <v>13.5</v>
      </c>
      <c r="F212" s="35">
        <v>25000</v>
      </c>
      <c r="G212" s="35">
        <v>45000</v>
      </c>
      <c r="H212" s="35">
        <v>25000</v>
      </c>
    </row>
    <row r="213" spans="2:8" x14ac:dyDescent="0.3">
      <c r="B213" s="35" t="s">
        <v>504</v>
      </c>
      <c r="C213" s="35" t="s">
        <v>48</v>
      </c>
      <c r="D213" s="35">
        <v>25000</v>
      </c>
      <c r="E213" s="35">
        <v>15.950000000000003</v>
      </c>
      <c r="F213" s="35">
        <v>25000</v>
      </c>
      <c r="G213" s="35">
        <v>15000</v>
      </c>
      <c r="H213" s="35">
        <v>25000</v>
      </c>
    </row>
    <row r="214" spans="2:8" x14ac:dyDescent="0.3">
      <c r="B214" s="35" t="s">
        <v>506</v>
      </c>
      <c r="C214" s="35" t="s">
        <v>48</v>
      </c>
      <c r="D214" s="35">
        <v>32500</v>
      </c>
      <c r="E214" s="35">
        <v>12.5</v>
      </c>
      <c r="F214" s="35">
        <v>32500</v>
      </c>
      <c r="G214" s="35">
        <v>80000</v>
      </c>
      <c r="H214" s="35">
        <v>20000</v>
      </c>
    </row>
    <row r="215" spans="2:8" x14ac:dyDescent="0.3">
      <c r="B215" s="35" t="s">
        <v>508</v>
      </c>
      <c r="C215" s="35" t="s">
        <v>48</v>
      </c>
      <c r="D215" s="35">
        <v>32500</v>
      </c>
      <c r="E215" s="35">
        <v>13</v>
      </c>
      <c r="F215" s="35">
        <v>32500</v>
      </c>
      <c r="G215" s="35">
        <v>45000</v>
      </c>
      <c r="H215" s="35">
        <v>27500</v>
      </c>
    </row>
    <row r="216" spans="2:8" x14ac:dyDescent="0.3">
      <c r="B216" s="35" t="s">
        <v>510</v>
      </c>
      <c r="C216" s="35" t="s">
        <v>48</v>
      </c>
      <c r="D216" s="35">
        <v>35000</v>
      </c>
      <c r="E216" s="35">
        <v>13.5</v>
      </c>
      <c r="F216" s="35">
        <v>35000</v>
      </c>
      <c r="G216" s="35">
        <v>67500</v>
      </c>
      <c r="H216" s="35">
        <v>20000</v>
      </c>
    </row>
    <row r="217" spans="2:8" x14ac:dyDescent="0.3">
      <c r="B217" s="35" t="s">
        <v>512</v>
      </c>
      <c r="C217" s="35" t="s">
        <v>48</v>
      </c>
      <c r="D217" s="35">
        <v>27500</v>
      </c>
      <c r="E217" s="35">
        <v>10</v>
      </c>
      <c r="F217" s="35">
        <v>27500</v>
      </c>
      <c r="G217" s="35">
        <v>10000</v>
      </c>
      <c r="H217" s="35">
        <v>20000</v>
      </c>
    </row>
    <row r="218" spans="2:8" x14ac:dyDescent="0.3">
      <c r="B218" s="35" t="s">
        <v>514</v>
      </c>
      <c r="C218" s="35" t="s">
        <v>48</v>
      </c>
      <c r="D218" s="35">
        <v>27500</v>
      </c>
      <c r="E218" s="35">
        <v>11.5</v>
      </c>
      <c r="F218" s="35">
        <v>27500</v>
      </c>
      <c r="G218" s="35">
        <v>2500</v>
      </c>
      <c r="H218" s="35">
        <v>27500</v>
      </c>
    </row>
    <row r="219" spans="2:8" x14ac:dyDescent="0.3">
      <c r="B219" s="35" t="s">
        <v>516</v>
      </c>
      <c r="C219" s="35" t="s">
        <v>48</v>
      </c>
      <c r="D219" s="35">
        <v>30000</v>
      </c>
      <c r="E219" s="35">
        <v>11.75</v>
      </c>
      <c r="F219" s="35">
        <v>30000</v>
      </c>
      <c r="G219" s="35">
        <v>0</v>
      </c>
      <c r="H219" s="35">
        <v>20000</v>
      </c>
    </row>
    <row r="220" spans="2:8" x14ac:dyDescent="0.3">
      <c r="B220" s="35" t="s">
        <v>518</v>
      </c>
      <c r="C220" s="35" t="s">
        <v>48</v>
      </c>
      <c r="D220" s="35">
        <v>30000</v>
      </c>
      <c r="E220" s="35">
        <v>14.25</v>
      </c>
      <c r="F220" s="35">
        <v>30000</v>
      </c>
      <c r="G220" s="35">
        <v>2500</v>
      </c>
      <c r="H220" s="35">
        <v>10000</v>
      </c>
    </row>
    <row r="221" spans="2:8" x14ac:dyDescent="0.3">
      <c r="B221" s="35" t="s">
        <v>520</v>
      </c>
      <c r="C221" s="35" t="s">
        <v>48</v>
      </c>
      <c r="D221" s="35">
        <v>32500</v>
      </c>
      <c r="E221" s="35">
        <v>14.800000000000011</v>
      </c>
      <c r="F221" s="35">
        <v>32500</v>
      </c>
      <c r="G221" s="35">
        <v>2500</v>
      </c>
      <c r="H221" s="35">
        <v>27500</v>
      </c>
    </row>
    <row r="222" spans="2:8" x14ac:dyDescent="0.3">
      <c r="B222" s="35" t="s">
        <v>522</v>
      </c>
      <c r="C222" s="35" t="s">
        <v>48</v>
      </c>
      <c r="D222" s="35">
        <v>55000</v>
      </c>
      <c r="E222" s="35">
        <v>13.25</v>
      </c>
      <c r="F222" s="35">
        <v>55000</v>
      </c>
      <c r="G222" s="35">
        <v>0</v>
      </c>
      <c r="H222" s="35">
        <v>10000</v>
      </c>
    </row>
    <row r="223" spans="2:8" x14ac:dyDescent="0.3">
      <c r="B223" s="35" t="s">
        <v>524</v>
      </c>
      <c r="C223" s="35" t="s">
        <v>347</v>
      </c>
      <c r="D223" s="35">
        <v>0</v>
      </c>
      <c r="E223" s="35">
        <v>-2.3499999999999943</v>
      </c>
      <c r="F223" s="35">
        <v>0</v>
      </c>
      <c r="G223" s="35">
        <v>0</v>
      </c>
      <c r="H223" s="35">
        <v>32500</v>
      </c>
    </row>
    <row r="224" spans="2:8" x14ac:dyDescent="0.3">
      <c r="B224" s="35" t="s">
        <v>526</v>
      </c>
      <c r="C224" s="35" t="s">
        <v>351</v>
      </c>
      <c r="D224" s="35">
        <v>0</v>
      </c>
      <c r="E224" s="35">
        <v>-1.8800000000000097</v>
      </c>
      <c r="F224" s="35">
        <v>0</v>
      </c>
      <c r="G224" s="35">
        <v>0</v>
      </c>
      <c r="H224" s="35">
        <v>32500</v>
      </c>
    </row>
    <row r="225" spans="2:8" x14ac:dyDescent="0.3">
      <c r="B225" s="35" t="s">
        <v>528</v>
      </c>
      <c r="C225" s="35" t="s">
        <v>354</v>
      </c>
      <c r="D225" s="35">
        <v>0</v>
      </c>
      <c r="E225" s="35">
        <v>-2.0999999999999943</v>
      </c>
      <c r="F225" s="35">
        <v>0</v>
      </c>
      <c r="G225" s="35">
        <v>0</v>
      </c>
      <c r="H225" s="35">
        <v>32500</v>
      </c>
    </row>
    <row r="226" spans="2:8" x14ac:dyDescent="0.3">
      <c r="B226" s="35" t="s">
        <v>530</v>
      </c>
      <c r="C226" s="35" t="s">
        <v>347</v>
      </c>
      <c r="D226" s="35">
        <v>0</v>
      </c>
      <c r="E226" s="35">
        <v>14.25</v>
      </c>
      <c r="F226" s="35">
        <v>0</v>
      </c>
      <c r="G226" s="35">
        <v>20000</v>
      </c>
      <c r="H226" s="35">
        <v>0</v>
      </c>
    </row>
    <row r="227" spans="2:8" x14ac:dyDescent="0.3">
      <c r="B227" s="35" t="s">
        <v>532</v>
      </c>
      <c r="C227" s="35" t="s">
        <v>351</v>
      </c>
      <c r="D227" s="35">
        <v>0</v>
      </c>
      <c r="E227" s="35">
        <v>14</v>
      </c>
      <c r="F227" s="35">
        <v>0</v>
      </c>
      <c r="G227" s="35">
        <v>12500</v>
      </c>
      <c r="H227" s="35">
        <v>0</v>
      </c>
    </row>
    <row r="228" spans="2:8" x14ac:dyDescent="0.3">
      <c r="B228" s="35" t="s">
        <v>534</v>
      </c>
      <c r="C228" s="35" t="s">
        <v>354</v>
      </c>
      <c r="D228" s="35">
        <v>0</v>
      </c>
      <c r="E228" s="35">
        <v>1.9000000000001762</v>
      </c>
      <c r="F228" s="35">
        <v>0</v>
      </c>
      <c r="G228" s="35">
        <v>12500</v>
      </c>
      <c r="H228" s="35">
        <v>0</v>
      </c>
    </row>
    <row r="229" spans="2:8" x14ac:dyDescent="0.3">
      <c r="B229" s="35" t="s">
        <v>536</v>
      </c>
      <c r="C229" s="35" t="s">
        <v>347</v>
      </c>
      <c r="D229" s="35">
        <v>0</v>
      </c>
      <c r="E229" s="35">
        <v>0.5</v>
      </c>
      <c r="F229" s="35">
        <v>0</v>
      </c>
      <c r="G229" s="35">
        <v>10000</v>
      </c>
      <c r="H229" s="35">
        <v>0</v>
      </c>
    </row>
    <row r="230" spans="2:8" x14ac:dyDescent="0.3">
      <c r="B230" s="35" t="s">
        <v>538</v>
      </c>
      <c r="C230" s="35" t="s">
        <v>351</v>
      </c>
      <c r="D230" s="35">
        <v>0</v>
      </c>
      <c r="E230" s="35">
        <v>1.1000000000000227</v>
      </c>
      <c r="F230" s="35">
        <v>0</v>
      </c>
      <c r="G230" s="35">
        <v>7500</v>
      </c>
      <c r="H230" s="35">
        <v>0</v>
      </c>
    </row>
    <row r="231" spans="2:8" x14ac:dyDescent="0.3">
      <c r="B231" s="35" t="s">
        <v>540</v>
      </c>
      <c r="C231" s="35" t="s">
        <v>354</v>
      </c>
      <c r="D231" s="35">
        <v>12500</v>
      </c>
      <c r="E231" s="35">
        <v>-1.4000000000000057</v>
      </c>
      <c r="F231" s="35">
        <v>0</v>
      </c>
      <c r="G231" s="35">
        <v>12500</v>
      </c>
      <c r="H231" s="35">
        <v>7500</v>
      </c>
    </row>
    <row r="232" spans="2:8" x14ac:dyDescent="0.3">
      <c r="B232" s="35" t="s">
        <v>542</v>
      </c>
      <c r="C232" s="35" t="s">
        <v>347</v>
      </c>
      <c r="D232" s="35">
        <v>0</v>
      </c>
      <c r="E232" s="35">
        <v>17</v>
      </c>
      <c r="F232" s="35">
        <v>0</v>
      </c>
      <c r="G232" s="35">
        <v>20000</v>
      </c>
      <c r="H232" s="35">
        <v>0</v>
      </c>
    </row>
    <row r="233" spans="2:8" x14ac:dyDescent="0.3">
      <c r="B233" s="35" t="s">
        <v>544</v>
      </c>
      <c r="C233" s="35" t="s">
        <v>351</v>
      </c>
      <c r="D233" s="35">
        <v>0</v>
      </c>
      <c r="E233" s="35">
        <v>-1.2000000000000028</v>
      </c>
      <c r="F233" s="35">
        <v>0</v>
      </c>
      <c r="G233" s="35">
        <v>0</v>
      </c>
      <c r="H233" s="35">
        <v>32500</v>
      </c>
    </row>
    <row r="234" spans="2:8" x14ac:dyDescent="0.3">
      <c r="B234" s="35" t="s">
        <v>625</v>
      </c>
      <c r="C234" s="35" t="s">
        <v>354</v>
      </c>
      <c r="D234" s="35">
        <v>0</v>
      </c>
      <c r="E234" s="35">
        <v>7.0999999999999943</v>
      </c>
      <c r="F234" s="35">
        <v>0</v>
      </c>
      <c r="G234" s="35">
        <v>12500</v>
      </c>
      <c r="H234" s="35">
        <v>0</v>
      </c>
    </row>
    <row r="235" spans="2:8" x14ac:dyDescent="0.3">
      <c r="B235" s="35" t="s">
        <v>389</v>
      </c>
      <c r="C235" s="35" t="s">
        <v>387</v>
      </c>
      <c r="D235" s="35">
        <v>50000</v>
      </c>
      <c r="E235" s="35">
        <v>-3.25</v>
      </c>
      <c r="F235" s="35">
        <v>50000</v>
      </c>
      <c r="G235" s="35">
        <v>20000</v>
      </c>
      <c r="H235" s="35">
        <v>2500</v>
      </c>
    </row>
    <row r="236" spans="2:8" x14ac:dyDescent="0.3">
      <c r="B236" s="35" t="s">
        <v>392</v>
      </c>
      <c r="C236" s="35" t="s">
        <v>390</v>
      </c>
      <c r="D236" s="35">
        <v>47500</v>
      </c>
      <c r="E236" s="35">
        <v>-3.5</v>
      </c>
      <c r="F236" s="35">
        <v>47500</v>
      </c>
      <c r="G236" s="35">
        <v>27500</v>
      </c>
      <c r="H236" s="35">
        <v>2500</v>
      </c>
    </row>
    <row r="237" spans="2:8" x14ac:dyDescent="0.3">
      <c r="B237" s="35" t="s">
        <v>395</v>
      </c>
      <c r="C237" s="35" t="s">
        <v>393</v>
      </c>
      <c r="D237" s="35">
        <v>47500</v>
      </c>
      <c r="E237" s="35">
        <v>-3.75</v>
      </c>
      <c r="F237" s="35">
        <v>47500</v>
      </c>
      <c r="G237" s="35">
        <v>20000</v>
      </c>
      <c r="H237" s="35">
        <v>15000</v>
      </c>
    </row>
    <row r="238" spans="2:8" x14ac:dyDescent="0.3">
      <c r="B238" s="35" t="s">
        <v>397</v>
      </c>
      <c r="C238" s="35" t="s">
        <v>387</v>
      </c>
      <c r="D238" s="35">
        <v>37500</v>
      </c>
      <c r="E238" s="35">
        <v>-0.75</v>
      </c>
      <c r="F238" s="35">
        <v>37500</v>
      </c>
      <c r="G238" s="35">
        <v>20000</v>
      </c>
      <c r="H238" s="35">
        <v>10000</v>
      </c>
    </row>
    <row r="239" spans="2:8" x14ac:dyDescent="0.3">
      <c r="B239" s="35" t="s">
        <v>399</v>
      </c>
      <c r="C239" s="35" t="s">
        <v>390</v>
      </c>
      <c r="D239" s="35">
        <v>30000</v>
      </c>
      <c r="E239" s="35">
        <v>-0.25</v>
      </c>
      <c r="F239" s="35">
        <v>30000</v>
      </c>
      <c r="G239" s="35">
        <v>27500</v>
      </c>
      <c r="H239" s="35">
        <v>2500</v>
      </c>
    </row>
    <row r="240" spans="2:8" x14ac:dyDescent="0.3">
      <c r="B240" s="35" t="s">
        <v>401</v>
      </c>
      <c r="C240" s="35" t="s">
        <v>393</v>
      </c>
      <c r="D240" s="35">
        <v>30000</v>
      </c>
      <c r="E240" s="35">
        <v>-1.25</v>
      </c>
      <c r="F240" s="35">
        <v>30000</v>
      </c>
      <c r="G240" s="35">
        <v>20000</v>
      </c>
      <c r="H240" s="35">
        <v>0</v>
      </c>
    </row>
    <row r="241" spans="2:8" x14ac:dyDescent="0.3">
      <c r="B241" s="35" t="s">
        <v>403</v>
      </c>
      <c r="C241" s="35" t="s">
        <v>387</v>
      </c>
      <c r="D241" s="35">
        <v>20000</v>
      </c>
      <c r="E241" s="35">
        <v>0</v>
      </c>
      <c r="F241" s="35">
        <v>100000</v>
      </c>
      <c r="G241" s="35">
        <v>1E+30</v>
      </c>
      <c r="H241" s="35">
        <v>80000</v>
      </c>
    </row>
    <row r="242" spans="2:8" x14ac:dyDescent="0.3">
      <c r="B242" s="35" t="s">
        <v>405</v>
      </c>
      <c r="C242" s="35" t="s">
        <v>390</v>
      </c>
      <c r="D242" s="35">
        <v>52500</v>
      </c>
      <c r="E242" s="35">
        <v>0</v>
      </c>
      <c r="F242" s="35">
        <v>97500</v>
      </c>
      <c r="G242" s="35">
        <v>1E+30</v>
      </c>
      <c r="H242" s="35">
        <v>45000</v>
      </c>
    </row>
    <row r="243" spans="2:8" x14ac:dyDescent="0.3">
      <c r="B243" s="35" t="s">
        <v>407</v>
      </c>
      <c r="C243" s="35" t="s">
        <v>393</v>
      </c>
      <c r="D243" s="35">
        <v>32500</v>
      </c>
      <c r="E243" s="35">
        <v>0</v>
      </c>
      <c r="F243" s="35">
        <v>100000</v>
      </c>
      <c r="G243" s="35">
        <v>1E+30</v>
      </c>
      <c r="H243" s="35">
        <v>67500</v>
      </c>
    </row>
    <row r="244" spans="2:8" x14ac:dyDescent="0.3">
      <c r="B244" s="35" t="s">
        <v>409</v>
      </c>
      <c r="C244" s="35" t="s">
        <v>387</v>
      </c>
      <c r="D244" s="35">
        <v>45000</v>
      </c>
      <c r="E244" s="35">
        <v>-0.39999999999997726</v>
      </c>
      <c r="F244" s="35">
        <v>45000</v>
      </c>
      <c r="G244" s="35">
        <v>10000</v>
      </c>
      <c r="H244" s="35">
        <v>2500</v>
      </c>
    </row>
    <row r="245" spans="2:8" x14ac:dyDescent="0.3">
      <c r="B245" s="35" t="s">
        <v>411</v>
      </c>
      <c r="C245" s="35" t="s">
        <v>390</v>
      </c>
      <c r="D245" s="35">
        <v>7500</v>
      </c>
      <c r="E245" s="35">
        <v>0</v>
      </c>
      <c r="F245" s="35">
        <v>40000</v>
      </c>
      <c r="G245" s="35">
        <v>1E+30</v>
      </c>
      <c r="H245" s="35">
        <v>32500</v>
      </c>
    </row>
    <row r="246" spans="2:8" x14ac:dyDescent="0.3">
      <c r="B246" s="35" t="s">
        <v>627</v>
      </c>
      <c r="C246" s="35" t="s">
        <v>393</v>
      </c>
      <c r="D246" s="35">
        <v>55000</v>
      </c>
      <c r="E246" s="35">
        <v>-0.45000000000004547</v>
      </c>
      <c r="F246" s="35">
        <v>55000</v>
      </c>
      <c r="G246" s="35">
        <v>10000</v>
      </c>
      <c r="H246" s="35">
        <v>0</v>
      </c>
    </row>
    <row r="247" spans="2:8" x14ac:dyDescent="0.3">
      <c r="B247" s="35" t="s">
        <v>547</v>
      </c>
      <c r="C247" s="35" t="s">
        <v>546</v>
      </c>
      <c r="D247" s="35">
        <v>0</v>
      </c>
      <c r="E247" s="35">
        <v>0</v>
      </c>
      <c r="F247" s="35">
        <v>32500</v>
      </c>
      <c r="G247" s="35">
        <v>1E+30</v>
      </c>
      <c r="H247" s="35">
        <v>32500</v>
      </c>
    </row>
    <row r="248" spans="2:8" x14ac:dyDescent="0.3">
      <c r="B248" s="35" t="s">
        <v>549</v>
      </c>
      <c r="C248" s="35" t="s">
        <v>546</v>
      </c>
      <c r="D248" s="35">
        <v>0</v>
      </c>
      <c r="E248" s="35">
        <v>0</v>
      </c>
      <c r="F248" s="35">
        <v>32500</v>
      </c>
      <c r="G248" s="35">
        <v>1E+30</v>
      </c>
      <c r="H248" s="35">
        <v>32500</v>
      </c>
    </row>
    <row r="249" spans="2:8" x14ac:dyDescent="0.3">
      <c r="B249" s="35" t="s">
        <v>551</v>
      </c>
      <c r="C249" s="35" t="s">
        <v>546</v>
      </c>
      <c r="D249" s="35">
        <v>0</v>
      </c>
      <c r="E249" s="35">
        <v>0</v>
      </c>
      <c r="F249" s="35">
        <v>32500</v>
      </c>
      <c r="G249" s="35">
        <v>1E+30</v>
      </c>
      <c r="H249" s="35">
        <v>32500</v>
      </c>
    </row>
    <row r="250" spans="2:8" x14ac:dyDescent="0.3">
      <c r="B250" s="35" t="s">
        <v>553</v>
      </c>
      <c r="C250" s="35" t="s">
        <v>546</v>
      </c>
      <c r="D250" s="35">
        <v>0</v>
      </c>
      <c r="E250" s="35">
        <v>0</v>
      </c>
      <c r="F250" s="35">
        <v>25000</v>
      </c>
      <c r="G250" s="35">
        <v>1E+30</v>
      </c>
      <c r="H250" s="35">
        <v>25000</v>
      </c>
    </row>
    <row r="251" spans="2:8" x14ac:dyDescent="0.3">
      <c r="B251" s="35" t="s">
        <v>555</v>
      </c>
      <c r="C251" s="35" t="s">
        <v>546</v>
      </c>
      <c r="D251" s="35">
        <v>0</v>
      </c>
      <c r="E251" s="35">
        <v>0</v>
      </c>
      <c r="F251" s="35">
        <v>25000</v>
      </c>
      <c r="G251" s="35">
        <v>1E+30</v>
      </c>
      <c r="H251" s="35">
        <v>25000</v>
      </c>
    </row>
    <row r="252" spans="2:8" x14ac:dyDescent="0.3">
      <c r="B252" s="35" t="s">
        <v>557</v>
      </c>
      <c r="C252" s="35" t="s">
        <v>546</v>
      </c>
      <c r="D252" s="35">
        <v>0</v>
      </c>
      <c r="E252" s="35">
        <v>0</v>
      </c>
      <c r="F252" s="35">
        <v>25000</v>
      </c>
      <c r="G252" s="35">
        <v>1E+30</v>
      </c>
      <c r="H252" s="35">
        <v>25000</v>
      </c>
    </row>
    <row r="253" spans="2:8" x14ac:dyDescent="0.3">
      <c r="B253" s="35" t="s">
        <v>559</v>
      </c>
      <c r="C253" s="35" t="s">
        <v>546</v>
      </c>
      <c r="D253" s="35">
        <v>0</v>
      </c>
      <c r="E253" s="35">
        <v>0</v>
      </c>
      <c r="F253" s="35">
        <v>20000</v>
      </c>
      <c r="G253" s="35">
        <v>1E+30</v>
      </c>
      <c r="H253" s="35">
        <v>20000</v>
      </c>
    </row>
    <row r="254" spans="2:8" x14ac:dyDescent="0.3">
      <c r="B254" s="35" t="s">
        <v>561</v>
      </c>
      <c r="C254" s="35" t="s">
        <v>546</v>
      </c>
      <c r="D254" s="35">
        <v>0</v>
      </c>
      <c r="E254" s="35">
        <v>0</v>
      </c>
      <c r="F254" s="35">
        <v>20000</v>
      </c>
      <c r="G254" s="35">
        <v>1E+30</v>
      </c>
      <c r="H254" s="35">
        <v>20000</v>
      </c>
    </row>
    <row r="255" spans="2:8" x14ac:dyDescent="0.3">
      <c r="B255" s="35" t="s">
        <v>563</v>
      </c>
      <c r="C255" s="35" t="s">
        <v>546</v>
      </c>
      <c r="D255" s="35">
        <v>12500</v>
      </c>
      <c r="E255" s="35">
        <v>0</v>
      </c>
      <c r="F255" s="35">
        <v>20000</v>
      </c>
      <c r="G255" s="35">
        <v>1E+30</v>
      </c>
      <c r="H255" s="35">
        <v>7500</v>
      </c>
    </row>
    <row r="256" spans="2:8" x14ac:dyDescent="0.3">
      <c r="B256" s="35" t="s">
        <v>565</v>
      </c>
      <c r="C256" s="35" t="s">
        <v>546</v>
      </c>
      <c r="D256" s="35">
        <v>0</v>
      </c>
      <c r="E256" s="35">
        <v>0</v>
      </c>
      <c r="F256" s="35">
        <v>32500</v>
      </c>
      <c r="G256" s="35">
        <v>1E+30</v>
      </c>
      <c r="H256" s="35">
        <v>32500</v>
      </c>
    </row>
    <row r="257" spans="2:8" x14ac:dyDescent="0.3">
      <c r="B257" s="35" t="s">
        <v>567</v>
      </c>
      <c r="C257" s="35" t="s">
        <v>546</v>
      </c>
      <c r="D257" s="35">
        <v>0</v>
      </c>
      <c r="E257" s="35">
        <v>0</v>
      </c>
      <c r="F257" s="35">
        <v>32500</v>
      </c>
      <c r="G257" s="35">
        <v>1E+30</v>
      </c>
      <c r="H257" s="35">
        <v>32500</v>
      </c>
    </row>
    <row r="258" spans="2:8" ht="15" thickBot="1" x14ac:dyDescent="0.35">
      <c r="B258" s="33" t="s">
        <v>629</v>
      </c>
      <c r="C258" s="33" t="s">
        <v>546</v>
      </c>
      <c r="D258" s="33">
        <v>0</v>
      </c>
      <c r="E258" s="33">
        <v>0</v>
      </c>
      <c r="F258" s="33">
        <v>32500</v>
      </c>
      <c r="G258" s="33">
        <v>1E+30</v>
      </c>
      <c r="H258" s="33">
        <v>32500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6c1a70-870c-44d5-8c23-cda32e7e6a4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213B5037316498F21A882183B162C" ma:contentTypeVersion="10" ma:contentTypeDescription="Create a new document." ma:contentTypeScope="" ma:versionID="d71abe4414245e8ce879ddce4da8dbac">
  <xsd:schema xmlns:xsd="http://www.w3.org/2001/XMLSchema" xmlns:xs="http://www.w3.org/2001/XMLSchema" xmlns:p="http://schemas.microsoft.com/office/2006/metadata/properties" xmlns:ns3="e76c1a70-870c-44d5-8c23-cda32e7e6a41" targetNamespace="http://schemas.microsoft.com/office/2006/metadata/properties" ma:root="true" ma:fieldsID="9614b8acc63d3ae0a26fad45ba9d0dec" ns3:_="">
    <xsd:import namespace="e76c1a70-870c-44d5-8c23-cda32e7e6a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6c1a70-870c-44d5-8c23-cda32e7e6a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CF1B8-8265-4615-9704-295A22A15A75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e76c1a70-870c-44d5-8c23-cda32e7e6a4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D6F395-AB58-418D-8C65-BCB11DCF42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6c1a70-870c-44d5-8c23-cda32e7e6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1B82F3-BAED-4680-B572-5E8EFEDB2FB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52e9fda-0691-4585-bdfc-5ccae1ce1890}" enabled="0" method="" siteId="{b52e9fda-0691-4585-bdfc-5ccae1ce18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Model</vt:lpstr>
      <vt:lpstr>Base Model- Answer Report</vt:lpstr>
      <vt:lpstr>Base Model-Sensitivity Report</vt:lpstr>
      <vt:lpstr>	Carbon Policy Model</vt:lpstr>
      <vt:lpstr>	Carbon Policy - Answer Report </vt:lpstr>
      <vt:lpstr>	Carbon Pol -Sensitivity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account</dc:creator>
  <cp:keywords/>
  <dc:description/>
  <cp:lastModifiedBy>Namirah Shafiq (U2451105)</cp:lastModifiedBy>
  <cp:revision/>
  <dcterms:created xsi:type="dcterms:W3CDTF">2019-09-10T08:45:13Z</dcterms:created>
  <dcterms:modified xsi:type="dcterms:W3CDTF">2026-07-26T14:31:00Z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0x01010065A213B5037316498F21A882183B162C</vt:lpwstr>
  </property>
</Properties>
</file>